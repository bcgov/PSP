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592CDA47-D6A6-4165-BCB0-9D09518CEB75}" xr6:coauthVersionLast="47" xr6:coauthVersionMax="47" xr10:uidLastSave="{00000000-0000-0000-0000-000000000000}"/>
  <bookViews>
    <workbookView xWindow="28680" yWindow="-120" windowWidth="38640" windowHeight="21120" tabRatio="950" firstSheet="31" activeTab="34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<sst xmlns="http://schemas.openxmlformats.org/spreadsheetml/2006/main" count="4409" uniqueCount="2433">
  <si>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</si>
  <si>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</si>
  <si>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</si>
  <si>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</si>
  <si>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</si>
  <si>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</si>
  <si>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</si>
  <si>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</si>
  <si>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</si>
  <si>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</si>
  <si>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</si>
  <si>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</si>
  <si>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</si>
  <si>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</si>
  <si>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</si>
  <si>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</si>
  <si>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</si>
  <si>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</si>
  <si>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</si>
  <si>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</si>
  <si>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</si>
  <si>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</si>
  <si>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</si>
  <si>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</si>
  <si>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</si>
  <si>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</si>
  <si>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</si>
  <si>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</si>
  <si>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</si>
  <si>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</si>
  <si>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</si>
  <si>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</si>
  <si>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</si>
  <si>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</si>
  <si>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</si>
  <si>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</si>
  <si>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</si>
  <si>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</si>
  <si>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</si>
  <si>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</si>
  <si>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</si>
  <si>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</si>
  <si>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</si>
  <si>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</si>
  <si>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</si>
  <si>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</si>
  <si>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</si>
  <si>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</si>
  <si>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</si>
  <si>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</si>
  <si>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</si>
  <si>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</si>
  <si>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</si>
  <si>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</si>
  <si>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</si>
  <si>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</si>
  <si>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</si>
  <si>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</si>
  <si>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</si>
  <si>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</si>
  <si>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</si>
  <si>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</si>
  <si>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</si>
  <si>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</si>
  <si>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</si>
  <si>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</si>
  <si>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</si>
  <si>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</si>
  <si>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</si>
  <si>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</si>
  <si>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</si>
  <si>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</si>
  <si>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</si>
  <si>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</si>
  <si>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</si>
  <si>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</si>
  <si>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</si>
  <si>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</si>
  <si>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</si>
  <si>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</si>
  <si>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</si>
  <si>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</si>
  <si>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</si>
  <si>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</si>
  <si>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</si>
  <si>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</si>
  <si>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</si>
  <si>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</si>
  <si>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</si>
  <si>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</si>
  <si>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</si>
  <si>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</si>
  <si>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</si>
  <si>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</si>
  <si>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</si>
  <si>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</si>
  <si>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</si>
  <si>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</si>
  <si>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</si>
  <si>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</si>
  <si>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</si>
  <si>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</si>
  <si>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</si>
  <si>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</si>
  <si>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</si>
  <si>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</si>
  <si>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</si>
  <si>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</si>
  <si>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</si>
  <si>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</si>
  <si>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</si>
  <si>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</si>
  <si>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</si>
  <si>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</si>
  <si>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</si>
  <si>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</si>
  <si>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</si>
  <si>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</si>
  <si>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</si>
  <si>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</si>
  <si>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</si>
  <si>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</si>
  <si>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</si>
  <si>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</si>
  <si>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</si>
  <si>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</si>
  <si>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</si>
  <si>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</si>
  <si>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</si>
  <si>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</si>
  <si>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</si>
  <si>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</si>
  <si>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</si>
  <si>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</si>
  <si>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</si>
  <si>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</si>
  <si>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</si>
  <si>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</si>
  <si>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</si>
  <si>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</si>
  <si>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</si>
  <si>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</si>
  <si>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</si>
  <si>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</si>
  <si>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</si>
  <si>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</si>
  <si>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</si>
  <si>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</si>
  <si>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</si>
  <si>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</si>
  <si>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</si>
  <si>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</si>
  <si>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</si>
  <si>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</si>
  <si>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</si>
  <si>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</si>
  <si>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</si>
  <si>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</si>
  <si>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</si>
  <si>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</si>
  <si>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</si>
  <si>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</si>
  <si>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</si>
  <si>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</si>
  <si>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</si>
  <si>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</si>
  <si>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</si>
  <si>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</si>
  <si>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</si>
  <si>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</si>
  <si>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</si>
  <si>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</si>
  <si>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</si>
  <si>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</si>
  <si>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</si>
  <si>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</si>
  <si>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</si>
  <si>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</si>
  <si>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</si>
  <si>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</si>
  <si>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</si>
  <si>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</si>
  <si>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</si>
  <si>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</si>
  <si>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</si>
  <si>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</si>
  <si>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</si>
  <si>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</si>
  <si>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</si>
  <si>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</si>
  <si>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</si>
  <si>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</si>
  <si>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</si>
  <si>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</si>
  <si>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</si>
  <si>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</si>
  <si>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</si>
  <si>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</si>
  <si>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</si>
  <si>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</si>
  <si>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</si>
  <si>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</si>
  <si>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</si>
  <si>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</si>
  <si>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</si>
  <si>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</si>
  <si>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</si>
  <si>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</si>
  <si>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</si>
  <si>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</si>
  <si>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</si>
  <si>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</si>
  <si>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</si>
  <si>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</si>
  <si>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</si>
  <si>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</si>
  <si>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</si>
  <si>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</si>
  <si>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</si>
  <si>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</si>
  <si>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</si>
  <si>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</si>
  <si>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</si>
  <si>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</si>
  <si>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</si>
  <si>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</si>
  <si>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</si>
  <si>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</si>
  <si>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</si>
  <si>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</si>
  <si>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</si>
  <si>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</si>
  <si>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</si>
  <si>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</si>
  <si>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</si>
  <si>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</si>
  <si>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</si>
  <si>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</si>
  <si>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</si>
  <si>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</si>
  <si>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</si>
  <si>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</si>
  <si>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</si>
  <si>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</si>
  <si>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</si>
  <si>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</si>
  <si>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</si>
  <si>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</si>
  <si>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</si>
  <si>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</si>
  <si>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</si>
  <si>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</si>
  <si>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</si>
  <si>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</si>
  <si>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</si>
  <si>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</si>
  <si>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</si>
  <si>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</si>
  <si>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</si>
  <si>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</si>
  <si>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</si>
  <si>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</si>
  <si>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</si>
  <si>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</si>
  <si>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</si>
  <si>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</si>
  <si>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</si>
  <si>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</si>
  <si>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</si>
  <si>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</si>
  <si>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</si>
  <si>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</si>
  <si>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</si>
  <si>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</si>
  <si>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</si>
  <si>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</si>
  <si>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</si>
  <si>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</si>
  <si>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</si>
  <si>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</si>
  <si>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</si>
  <si>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</si>
  <si>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</si>
  <si>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</si>
  <si>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</si>
  <si>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</si>
  <si>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</si>
  <si>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</si>
  <si>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</si>
  <si>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</si>
  <si>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</si>
  <si>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</si>
  <si>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</si>
  <si>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</si>
  <si>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</si>
  <si>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</si>
  <si>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</si>
  <si>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</si>
  <si>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</si>
  <si>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</si>
  <si>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</si>
  <si>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</si>
  <si>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</si>
  <si>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</si>
  <si>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</si>
  <si>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</si>
  <si>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</si>
  <si>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</si>
  <si>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</si>
  <si>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</si>
  <si>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</si>
  <si>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</si>
  <si>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</si>
  <si>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</si>
  <si>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</si>
  <si>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</si>
  <si>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</si>
  <si>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</si>
  <si>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</si>
  <si>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</si>
  <si>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</si>
  <si>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</si>
  <si>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</si>
  <si>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</si>
  <si>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</si>
  <si>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</si>
  <si>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</si>
  <si>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</si>
  <si>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</si>
  <si>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</si>
  <si>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</si>
  <si>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</si>
  <si>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</si>
  <si>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</si>
  <si>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</si>
  <si>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</si>
  <si>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</si>
  <si>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</si>
  <si>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</si>
  <si>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</si>
  <si>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</si>
  <si>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</si>
  <si>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</si>
  <si>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</si>
  <si>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</si>
  <si>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</si>
  <si>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</si>
  <si>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</si>
  <si>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</si>
  <si>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</si>
  <si>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</si>
  <si>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</si>
  <si>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</si>
  <si>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</si>
  <si>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</si>
  <si>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</si>
  <si>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</si>
  <si>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</si>
  <si>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</si>
  <si>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</si>
  <si>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</si>
  <si>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</si>
  <si>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</si>
  <si>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</si>
  <si>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</si>
  <si>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</si>
  <si>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</si>
  <si>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</si>
  <si>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</si>
  <si>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</si>
  <si>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</si>
  <si>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</si>
  <si>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</si>
  <si>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</si>
  <si>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</si>
  <si>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</si>
  <si>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</si>
  <si>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</si>
  <si>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</si>
  <si>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</si>
  <si>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</si>
  <si>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</si>
  <si>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</si>
  <si>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</si>
  <si>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</si>
  <si>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</si>
  <si>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</si>
  <si>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</si>
  <si>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</si>
  <si>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</si>
  <si>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</si>
  <si>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</si>
  <si>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</si>
  <si>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</si>
  <si>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</si>
  <si>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</si>
  <si>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</si>
  <si>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</si>
  <si>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</si>
  <si>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</si>
  <si>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</si>
  <si>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</si>
  <si>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</si>
  <si>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</si>
  <si>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</si>
  <si>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</si>
  <si>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</si>
  <si>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</si>
  <si>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</si>
  <si>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</si>
  <si>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</si>
  <si>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</si>
  <si>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</si>
  <si>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</si>
  <si>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</si>
  <si>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</si>
  <si>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</si>
  <si>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</si>
  <si>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</si>
  <si>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</si>
  <si>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</si>
  <si>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</si>
  <si>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</si>
  <si>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</si>
  <si>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</si>
  <si>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</si>
  <si>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</si>
  <si>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</si>
  <si>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</si>
  <si>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</si>
  <si>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</si>
  <si>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</si>
  <si>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</si>
  <si>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</si>
  <si>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</si>
  <si>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</si>
  <si>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</si>
  <si>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</si>
  <si>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</si>
  <si>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</si>
  <si>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</si>
  <si>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</si>
  <si>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</si>
  <si>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</si>
  <si>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</si>
  <si>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</si>
  <si>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</si>
  <si>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</si>
  <si>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</si>
  <si>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</si>
  <si>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</si>
  <si>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</si>
  <si>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</si>
  <si>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</si>
  <si>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</si>
  <si>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</si>
  <si>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</si>
  <si>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</si>
  <si>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</si>
  <si>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</si>
  <si>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</si>
  <si>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</si>
  <si>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</si>
  <si>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</si>
  <si>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</si>
  <si>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</si>
  <si>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</si>
  <si>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</si>
  <si>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</si>
  <si>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</si>
  <si>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</si>
  <si>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</si>
  <si>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</si>
  <si>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</si>
  <si>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</si>
  <si>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</si>
  <si>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</si>
  <si>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</si>
  <si>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</si>
  <si>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</si>
  <si>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</si>
  <si>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</si>
  <si>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</si>
  <si>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</si>
  <si>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</si>
  <si>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</si>
  <si>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</si>
  <si>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</si>
  <si>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</si>
  <si>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</si>
  <si>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</si>
  <si>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</si>
  <si>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</si>
  <si>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</si>
  <si>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</si>
  <si>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</si>
  <si>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</si>
  <si>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</si>
  <si>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</si>
  <si>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</si>
  <si>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</si>
  <si>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</si>
  <si>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</si>
  <si>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</si>
  <si>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</si>
  <si>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</si>
  <si>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</si>
  <si>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</si>
  <si>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</si>
  <si>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</si>
  <si>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</si>
  <si>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</si>
  <si>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</si>
  <si>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</si>
  <si>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</si>
  <si>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</si>
  <si>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</si>
  <si>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</si>
  <si>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</si>
  <si>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</si>
  <si>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</si>
  <si>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</si>
  <si>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</si>
  <si>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</si>
  <si>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</si>
  <si>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</si>
  <si>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</si>
  <si>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</si>
  <si>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</si>
  <si>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</si>
  <si>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</si>
  <si>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</si>
  <si>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</si>
  <si>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</si>
  <si>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</si>
  <si>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</si>
  <si>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</si>
  <si>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</si>
  <si>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</si>
  <si>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</si>
  <si>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</si>
  <si>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</si>
  <si>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</si>
  <si>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</si>
  <si>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</si>
  <si>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</si>
  <si>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</si>
  <si>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</si>
  <si>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</si>
  <si>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</si>
  <si>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</si>
  <si>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</si>
  <si>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</si>
  <si>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</si>
  <si>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</si>
  <si>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</si>
  <si>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</si>
  <si>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</si>
  <si>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</si>
  <si>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</si>
  <si>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</si>
  <si>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</si>
  <si>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</si>
  <si>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</si>
  <si>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</si>
  <si>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</si>
  <si>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</si>
  <si>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</si>
  <si>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</si>
  <si>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</si>
  <si>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</si>
  <si>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</si>
  <si>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</si>
  <si>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</si>
  <si>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</si>
  <si>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</si>
  <si>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</si>
  <si>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</si>
  <si>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</si>
  <si>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</si>
  <si>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</si>
  <si>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</si>
  <si>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</si>
  <si>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</si>
  <si>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</si>
  <si>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</si>
  <si>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</si>
  <si>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</si>
  <si>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</si>
  <si>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</si>
  <si>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</si>
  <si>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</si>
  <si>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</si>
  <si>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</si>
  <si>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</si>
  <si>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</si>
  <si>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</si>
  <si>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</si>
  <si>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</si>
  <si>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</si>
  <si>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</si>
  <si>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</si>
  <si>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</si>
  <si>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</si>
  <si>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</si>
  <si>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</si>
  <si>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</si>
  <si>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</si>
  <si>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</si>
  <si>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</si>
  <si>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</si>
  <si>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</si>
  <si>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</si>
  <si>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</si>
  <si>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</si>
  <si>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</si>
  <si>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</si>
  <si>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</si>
  <si>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</si>
  <si>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</si>
  <si>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</si>
  <si>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</si>
  <si>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</si>
  <si>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</si>
  <si>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</si>
  <si>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</si>
  <si>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</si>
  <si>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</si>
  <si>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</si>
  <si>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</si>
  <si>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</si>
  <si>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</si>
  <si>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</si>
  <si>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</si>
  <si>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</si>
  <si>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</si>
  <si>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</si>
  <si>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</si>
  <si>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</si>
  <si>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</si>
  <si>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</si>
  <si>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</si>
  <si>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</si>
  <si>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</si>
  <si>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</si>
  <si>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</si>
  <si>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</si>
  <si>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</si>
  <si>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</si>
  <si>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</si>
  <si>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</si>
  <si>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</si>
  <si>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</si>
  <si>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</si>
  <si>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</si>
  <si>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</si>
  <si>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</si>
  <si>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</si>
  <si>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</si>
  <si>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</si>
  <si>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</si>
  <si>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</si>
  <si>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</si>
  <si>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</si>
  <si>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</si>
  <si>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</si>
  <si>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</si>
  <si>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</si>
  <si>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</si>
  <si>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</si>
  <si>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</si>
  <si>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</si>
  <si>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</si>
  <si>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</si>
  <si>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</si>
  <si>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</si>
  <si>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</si>
  <si>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</si>
  <si>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</si>
  <si>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</si>
  <si>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</si>
  <si>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</si>
  <si>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</si>
  <si>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</si>
  <si>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</si>
  <si>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</si>
  <si>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</si>
  <si>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</si>
  <si>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</si>
  <si>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</si>
  <si>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</si>
  <si>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</si>
  <si>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</si>
  <si>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</si>
  <si>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</si>
  <si>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</si>
  <si>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</si>
  <si>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</si>
  <si>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</si>
  <si>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</si>
  <si>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</si>
  <si>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</si>
  <si>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</si>
  <si>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</si>
  <si>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</si>
  <si>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</si>
  <si>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</si>
  <si>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</si>
  <si>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</si>
  <si>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</si>
  <si>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</si>
  <si>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</si>
  <si>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</si>
  <si>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</si>
  <si>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</si>
  <si>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</si>
  <si>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</si>
  <si>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</si>
  <si>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</si>
  <si>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</si>
  <si>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</si>
  <si>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</si>
  <si>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</si>
  <si>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</si>
  <si>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</si>
  <si>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</si>
  <si>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</si>
  <si>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</si>
  <si>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</si>
  <si>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</si>
  <si>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</si>
  <si>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</si>
  <si>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</si>
  <si>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</si>
  <si>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</si>
  <si>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</si>
  <si>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</si>
  <si>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</si>
  <si>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</si>
  <si>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</si>
  <si>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</si>
  <si>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</si>
  <si>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</si>
  <si>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</si>
  <si>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</si>
  <si>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</si>
  <si>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</si>
  <si>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</si>
  <si>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</si>
  <si>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</si>
  <si>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</si>
  <si>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</si>
  <si>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</si>
  <si>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</si>
  <si>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</si>
  <si>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</si>
  <si>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</si>
  <si>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</si>
  <si>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</si>
  <si>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</si>
  <si>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</si>
  <si>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</si>
  <si>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</si>
  <si>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</si>
  <si>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</si>
  <si>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</si>
  <si>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</si>
  <si>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</si>
  <si>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</si>
  <si>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</si>
  <si>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</si>
  <si>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</si>
  <si>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</si>
  <si>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</si>
  <si>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</si>
  <si>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</si>
  <si>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</si>
  <si>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</si>
  <si>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</si>
  <si>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</si>
  <si>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</si>
  <si>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</si>
  <si>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</si>
  <si>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</si>
  <si>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</si>
  <si>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</si>
  <si>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</si>
  <si>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</si>
  <si>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</si>
  <si>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</si>
  <si>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</si>
  <si>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</si>
  <si>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</si>
  <si>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</si>
  <si>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</si>
  <si>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</si>
  <si>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</si>
  <si>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</si>
  <si>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</si>
  <si>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</si>
  <si>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</si>
  <si>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</si>
  <si>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</si>
  <si>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</si>
  <si>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</si>
  <si>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</si>
  <si>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</si>
  <si>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</si>
  <si>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</si>
  <si>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</si>
  <si>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</si>
  <si>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</si>
  <si>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</si>
  <si>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</si>
  <si>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</si>
  <si>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</si>
  <si>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</si>
  <si>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</si>
  <si>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</si>
  <si>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</si>
  <si>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</si>
  <si>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</si>
  <si>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</si>
  <si>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</si>
  <si>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</si>
  <si>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</si>
  <si>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</si>
  <si>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</si>
  <si>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</si>
  <si>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</si>
  <si>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</si>
  <si>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</si>
  <si>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</si>
  <si>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</si>
  <si>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</si>
  <si>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</si>
  <si>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</si>
  <si>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</si>
  <si>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</si>
  <si>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</si>
  <si>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</si>
  <si>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</si>
  <si>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</si>
  <si>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</si>
  <si>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</si>
  <si>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</si>
  <si>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</si>
  <si>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</si>
  <si>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</si>
  <si>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</si>
  <si>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</si>
  <si>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</si>
  <si>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</si>
  <si>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</si>
  <si>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</si>
  <si>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</si>
  <si>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</si>
  <si>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</si>
  <si>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</si>
  <si>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</si>
  <si>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</si>
  <si>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</si>
  <si>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</si>
  <si>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</si>
  <si>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</si>
  <si>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</si>
  <si>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</si>
  <si>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</si>
  <si>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</si>
  <si>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</si>
  <si>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</si>
  <si>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</si>
  <si>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</si>
  <si>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</si>
  <si>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</si>
  <si>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</si>
  <si>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</si>
  <si>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</si>
  <si>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</si>
  <si>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</si>
  <si>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</si>
  <si>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</si>
  <si>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</si>
  <si>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</si>
  <si>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</si>
  <si>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</si>
  <si>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</si>
  <si>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</si>
  <si>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</si>
  <si>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</si>
  <si>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</si>
  <si>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</si>
  <si>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</si>
  <si>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</si>
  <si>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</si>
  <si>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</si>
  <si>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</si>
  <si>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</si>
  <si>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</si>
  <si>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</si>
  <si>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</si>
  <si>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</si>
  <si>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</si>
  <si>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</si>
  <si>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</si>
  <si>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</si>
  <si>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</si>
  <si>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</si>
  <si>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</si>
  <si>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</si>
  <si>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</si>
  <si>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</si>
  <si>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</si>
  <si>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</si>
  <si>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</si>
  <si>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</si>
  <si>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</si>
  <si>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</si>
  <si>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</si>
  <si>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</si>
  <si>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</si>
  <si>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</si>
  <si>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</si>
  <si>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</si>
  <si>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</si>
  <si>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</si>
  <si>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</si>
  <si>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</si>
  <si>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</si>
  <si>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</si>
  <si>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</si>
  <si>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</si>
  <si>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</si>
  <si>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</si>
  <si>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</si>
  <si>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</si>
  <si>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</si>
  <si>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</si>
  <si>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</si>
  <si>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</si>
  <si>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</si>
  <si>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</si>
  <si>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</si>
  <si>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</si>
  <si>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</si>
  <si>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</si>
  <si>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</si>
  <si>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</si>
  <si>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</si>
  <si>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</si>
  <si>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</si>
  <si>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</si>
  <si>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</si>
  <si>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</si>
  <si>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</si>
  <si>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</si>
  <si>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</si>
  <si>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</si>
  <si>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</si>
  <si>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</si>
  <si>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</si>
  <si>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</si>
  <si>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</si>
  <si>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</si>
  <si>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</si>
  <si>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</si>
  <si>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</si>
  <si>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</si>
  <si>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</si>
  <si>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</si>
  <si>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</si>
  <si>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</si>
  <si>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</si>
  <si>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</si>
  <si>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</si>
  <si>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</si>
  <si>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</si>
  <si>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</si>
  <si>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</si>
  <si>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</si>
  <si>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</si>
  <si>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</si>
  <si>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</si>
  <si>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</si>
  <si>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</si>
  <si>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</si>
  <si>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</si>
  <si>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</si>
  <si>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</si>
  <si>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</si>
  <si>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</si>
  <si>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</si>
  <si>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</si>
  <si>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</si>
  <si>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</si>
  <si>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</si>
  <si>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</si>
  <si>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</si>
  <si>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</si>
  <si>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</si>
  <si>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</si>
  <si>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</si>
  <si>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</si>
  <si>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</si>
  <si>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</si>
  <si>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</si>
  <si>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</si>
  <si>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</si>
  <si>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</si>
  <si>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</si>
  <si>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</si>
  <si>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</si>
  <si>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</si>
  <si>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</si>
  <si>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</si>
  <si>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</si>
  <si>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</si>
  <si>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</si>
  <si>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</si>
  <si>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</si>
  <si>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</si>
  <si>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</si>
  <si>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</si>
  <si>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</si>
  <si>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</si>
  <si>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</si>
  <si>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</si>
  <si>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</si>
  <si>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</si>
  <si>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</si>
  <si>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</si>
  <si>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</si>
  <si>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</si>
  <si>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</si>
  <si>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</si>
  <si>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</si>
  <si>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</si>
  <si>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</si>
  <si>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</si>
  <si>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</si>
  <si>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</si>
  <si>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</si>
  <si>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</si>
  <si>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</si>
  <si>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</si>
  <si>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</si>
  <si>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</si>
  <si>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</si>
  <si>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</si>
  <si>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</si>
  <si>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</si>
  <si>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</si>
  <si>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</si>
  <si>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</si>
  <si>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</si>
  <si>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</si>
  <si>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</si>
  <si>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</si>
  <si>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</si>
  <si>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</si>
  <si>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</si>
  <si>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</si>
  <si>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</si>
  <si>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</si>
  <si>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</si>
  <si>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</si>
  <si>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</si>
  <si>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</si>
  <si>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</si>
  <si>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</si>
  <si>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</si>
  <si>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</si>
  <si>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</si>
  <si>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</si>
  <si>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</si>
  <si>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</si>
  <si>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</si>
  <si>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</si>
  <si>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</si>
  <si>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</si>
  <si>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</si>
  <si>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</si>
  <si>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</si>
  <si>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</si>
  <si>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</si>
  <si>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</si>
  <si>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</si>
  <si>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</si>
  <si>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</si>
  <si>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</si>
  <si>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</si>
  <si>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</si>
  <si>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</si>
  <si>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</si>
  <si>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</si>
  <si>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</si>
  <si>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</si>
  <si>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</si>
  <si>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</si>
  <si>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</si>
  <si>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</si>
  <si>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</si>
  <si>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</si>
  <si>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</si>
  <si>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</si>
  <si>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</si>
  <si>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</si>
  <si>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</si>
  <si>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</si>
  <si>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</si>
  <si>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</si>
  <si>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</si>
  <si>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</si>
  <si>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</si>
  <si>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</si>
  <si>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</si>
  <si>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</si>
  <si>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</si>
  <si>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</si>
  <si>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</si>
  <si>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</si>
  <si>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</si>
  <si>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</si>
  <si>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</si>
  <si>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</si>
  <si>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</si>
  <si>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</si>
  <si>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</si>
  <si>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</si>
  <si>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</si>
  <si>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</si>
  <si>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</si>
  <si>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</si>
  <si>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</si>
  <si>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</si>
  <si>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</si>
  <si>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</si>
  <si>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</si>
  <si>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</si>
  <si>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</si>
  <si>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</si>
  <si>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</si>
  <si>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</si>
  <si>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</si>
  <si>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</si>
  <si>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</si>
  <si>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</si>
  <si>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</si>
  <si>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</si>
  <si>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</si>
  <si>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</si>
  <si>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</si>
  <si>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</si>
  <si>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</si>
  <si>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</si>
  <si>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</si>
  <si>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</si>
  <si>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</si>
  <si>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</si>
  <si>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</si>
  <si>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</si>
  <si>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</si>
  <si>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</si>
  <si>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</si>
  <si>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</si>
  <si>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</si>
  <si>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</si>
  <si>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</si>
  <si>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</si>
  <si>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</si>
  <si>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</si>
  <si>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</si>
  <si>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</si>
  <si>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</si>
  <si>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</si>
  <si>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</si>
  <si>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</si>
  <si>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</si>
  <si>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</si>
  <si>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</si>
  <si>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</si>
  <si>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</si>
  <si>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</si>
  <si>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</si>
  <si>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</si>
  <si>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</si>
  <si>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</si>
  <si>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</si>
  <si>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</si>
  <si>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</si>
  <si>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</si>
  <si>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</si>
  <si>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</si>
  <si>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</si>
  <si>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</si>
  <si>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</si>
  <si>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</si>
  <si>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</si>
  <si>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</si>
  <si>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</si>
  <si>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</si>
  <si>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</si>
  <si>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</si>
  <si>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</si>
  <si>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</si>
  <si>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</si>
  <si>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</si>
  <si>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</si>
  <si>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</si>
  <si>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</si>
  <si>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</si>
  <si>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</si>
  <si>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</si>
  <si>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</si>
  <si>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</si>
  <si>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</si>
  <si>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</si>
  <si>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</si>
  <si>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</si>
  <si>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</si>
  <si>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</si>
  <si>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</si>
  <si>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</si>
  <si>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</si>
  <si>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</si>
  <si>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</si>
  <si>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</si>
  <si>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</si>
  <si>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</si>
  <si>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</si>
  <si>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</si>
  <si>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</si>
  <si>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</si>
  <si>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</si>
  <si>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</si>
  <si>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</si>
  <si>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</si>
  <si>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</si>
  <si>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</si>
  <si>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</si>
  <si>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</si>
  <si>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</si>
  <si>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</si>
  <si>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</si>
  <si>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</si>
  <si>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</si>
  <si>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</si>
  <si>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</si>
  <si>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</si>
  <si>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</si>
  <si>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</si>
  <si>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</si>
  <si>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</si>
  <si>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</si>
  <si>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</si>
  <si>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</si>
  <si>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</si>
  <si>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</si>
  <si>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</si>
  <si>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</si>
  <si>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</si>
  <si>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</si>
  <si>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</si>
  <si>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</si>
  <si>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</si>
  <si>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</si>
  <si>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</si>
  <si>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</si>
  <si>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</si>
  <si>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</si>
  <si>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</si>
  <si>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</si>
  <si>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</si>
  <si>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</si>
  <si>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</si>
  <si>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</si>
  <si>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</si>
  <si>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</si>
  <si>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</si>
  <si>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</si>
  <si>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</si>
  <si>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</si>
  <si>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</si>
  <si>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</si>
  <si>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</si>
  <si>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</si>
  <si>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</si>
  <si>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</si>
  <si>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</si>
  <si>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</si>
  <si>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</si>
  <si>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</si>
  <si>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</si>
  <si>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</si>
  <si>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</si>
  <si>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</si>
  <si>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</si>
  <si>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</si>
  <si>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</si>
  <si>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</si>
  <si>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</si>
  <si>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</si>
  <si>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</si>
  <si>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</si>
  <si>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</si>
  <si>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</si>
  <si>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</si>
  <si>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</si>
  <si>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</si>
  <si>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</si>
  <si>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</si>
  <si>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</si>
  <si>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</si>
  <si>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</si>
  <si>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</si>
  <si>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</si>
  <si>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</si>
  <si>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</si>
  <si>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</si>
  <si>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</si>
  <si>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</si>
  <si>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</si>
  <si>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</si>
  <si>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</si>
  <si>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</si>
  <si>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</si>
  <si>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</si>
  <si>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</si>
  <si>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</si>
  <si>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</si>
  <si>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</si>
  <si>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</si>
  <si>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</si>
  <si>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</si>
  <si>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</si>
  <si>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</si>
  <si>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</si>
  <si>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</si>
  <si>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</si>
  <si>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</si>
  <si>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</si>
  <si>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</si>
  <si>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</si>
  <si>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</si>
  <si>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</si>
  <si>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</si>
  <si>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</si>
  <si>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</si>
  <si>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</si>
  <si>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</si>
  <si>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</si>
  <si>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</si>
  <si>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</si>
  <si>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</si>
  <si>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</si>
  <si>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</si>
  <si>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</si>
  <si>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</si>
  <si>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</si>
  <si>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</si>
  <si>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</si>
  <si>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</si>
  <si>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</si>
  <si>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</si>
  <si>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</si>
  <si>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</si>
  <si>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</si>
  <si>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</si>
  <si>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</si>
  <si>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</si>
  <si>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</si>
  <si>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</si>
  <si>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</si>
  <si>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</si>
  <si>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</si>
  <si>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</si>
  <si>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</si>
  <si>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</si>
  <si>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</si>
  <si>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</si>
  <si>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</si>
  <si>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</si>
  <si>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</si>
  <si>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</si>
  <si>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</si>
  <si>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</si>
  <si>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</si>
  <si>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</si>
  <si>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</si>
  <si>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</si>
  <si>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</si>
  <si>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</si>
  <si>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</si>
  <si>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</si>
  <si>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</si>
  <si>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</si>
  <si>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</si>
  <si>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</si>
  <si>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</si>
  <si>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</si>
  <si>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</si>
  <si>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</si>
  <si>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</si>
  <si>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</si>
  <si>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</si>
  <si>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</si>
  <si>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</si>
  <si>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</si>
  <si>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</si>
  <si>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</si>
  <si>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</si>
  <si>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</si>
  <si>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</si>
  <si>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</si>
  <si>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</si>
  <si>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</si>
  <si>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</si>
  <si>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</si>
  <si>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</si>
  <si>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</si>
  <si>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</si>
  <si>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</si>
  <si>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</si>
  <si>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</si>
  <si>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</si>
  <si>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</si>
  <si>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</si>
  <si>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</si>
  <si>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</si>
  <si>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</si>
  <si>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</si>
  <si>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</si>
  <si>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</si>
  <si>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</si>
  <si>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</si>
  <si>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</si>
  <si>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</si>
  <si>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</si>
  <si>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</si>
  <si>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</si>
  <si>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</si>
  <si>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</si>
  <si>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</si>
  <si>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</si>
  <si>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</si>
  <si>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</si>
  <si>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</si>
  <si>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</si>
  <si>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</si>
  <si>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</si>
  <si>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</si>
  <si>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</si>
  <si>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</si>
  <si>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</si>
  <si>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</si>
  <si>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</si>
  <si>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</si>
  <si>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</si>
  <si>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</si>
  <si>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</si>
  <si>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</si>
  <si>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</si>
  <si>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</si>
  <si>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</si>
  <si>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</si>
  <si>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</si>
  <si>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</si>
  <si>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</si>
  <si>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</si>
  <si>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</si>
  <si>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</si>
  <si>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</si>
  <si>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</si>
  <si>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</si>
  <si>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</si>
  <si>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</si>
  <si>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</si>
  <si>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</si>
  <si>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</si>
  <si>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</si>
  <si>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</si>
  <si>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</si>
  <si>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</si>
  <si>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</si>
  <si>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</si>
  <si>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</si>
  <si>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</si>
  <si>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</si>
  <si>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</si>
  <si>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</si>
  <si>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</si>
  <si>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</si>
  <si>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</si>
  <si>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</si>
  <si>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</si>
  <si>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</si>
  <si>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</si>
  <si>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</si>
  <si>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</si>
  <si>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</si>
  <si>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</si>
  <si>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</si>
  <si>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</si>
  <si>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</si>
  <si>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</si>
  <si>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</si>
  <si>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</si>
  <si>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</si>
  <si>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</si>
  <si>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</si>
  <si>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</si>
  <si>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</si>
  <si>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</si>
  <si>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</si>
  <si>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</si>
  <si>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</si>
  <si>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</si>
  <si>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</si>
  <si>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</si>
  <si>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</si>
  <si>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</si>
  <si>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</si>
  <si>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</si>
  <si>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</si>
  <si>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</si>
  <si>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</si>
  <si>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</si>
  <si>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</si>
  <si>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</si>
  <si>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</si>
  <si>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</si>
  <si>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</si>
  <si>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</si>
  <si>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</si>
  <si>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</si>
  <si>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</si>
  <si>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</si>
  <si>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</si>
  <si>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</si>
  <si>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</si>
  <si>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</si>
  <si>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</si>
  <si>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</si>
  <si>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</si>
  <si>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</si>
  <si>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</si>
  <si>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</si>
  <si>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</si>
  <si>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</si>
  <si>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</si>
  <si>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</si>
  <si>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</si>
  <si>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</si>
  <si>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</si>
  <si>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</si>
  <si>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</si>
  <si>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</si>
  <si>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</si>
  <si>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</si>
  <si>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</si>
  <si>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</si>
  <si>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</si>
  <si>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</si>
  <si>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</si>
  <si>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</si>
  <si>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</si>
  <si>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</si>
  <si>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</si>
  <si>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</si>
  <si>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</si>
  <si>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</si>
  <si>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</si>
  <si>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</si>
  <si>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</si>
  <si>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</si>
  <si>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</si>
  <si>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</si>
  <si>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</si>
  <si>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</si>
  <si>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</si>
  <si>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</si>
  <si>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</si>
  <si>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</si>
  <si>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</si>
  <si>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</si>
  <si>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</si>
  <si>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</si>
  <si>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</si>
  <si>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</si>
  <si>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</si>
  <si>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</si>
  <si>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</si>
  <si>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</si>
  <si>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</si>
  <si>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</si>
  <si>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</si>
  <si>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</si>
  <si>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</si>
  <si>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</si>
  <si>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</si>
  <si>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</si>
  <si>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</si>
  <si>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</si>
  <si>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</si>
  <si>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</si>
  <si>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</si>
  <si>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</si>
  <si>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</si>
  <si>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</si>
  <si>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</si>
  <si>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</si>
  <si>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</si>
  <si>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</si>
  <si>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</si>
  <si>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</si>
  <si>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</si>
  <si>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</si>
  <si>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</si>
  <si>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</si>
  <si>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</si>
  <si>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</si>
  <si>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</si>
  <si>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</si>
  <si>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</si>
  <si>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</si>
  <si>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</si>
  <si>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</si>
  <si>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</si>
  <si>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</si>
  <si>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</si>
  <si>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</si>
  <si>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</si>
  <si>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</si>
  <si>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</si>
  <si>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</si>
  <si>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</si>
  <si>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</si>
  <si>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</si>
  <si>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</si>
  <si>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</si>
  <si>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</si>
  <si>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</si>
  <si>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</si>
  <si>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</si>
  <si>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</si>
  <si>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</si>
  <si>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</si>
  <si>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</si>
  <si>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</si>
  <si>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</si>
  <si>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</si>
  <si>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</si>
  <si>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</si>
  <si>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</si>
  <si>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</si>
  <si>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</si>
  <si>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</si>
  <si>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</si>
  <si>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</si>
  <si>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</si>
  <si>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</si>
  <si>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</si>
  <si>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</si>
  <si>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</si>
  <si>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</si>
  <si>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</si>
  <si>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</si>
  <si>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</si>
  <si>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</si>
  <si>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</si>
  <si>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</si>
  <si>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</si>
  <si>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</si>
  <si>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</si>
  <si>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</si>
  <si>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</si>
  <si>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</si>
  <si>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</si>
  <si>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</si>
  <si>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</si>
  <si>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</si>
  <si>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</si>
  <si>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</si>
  <si>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</si>
  <si>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</si>
  <si>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</si>
  <si>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</si>
  <si>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</si>
  <si>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</si>
  <si>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</si>
  <si>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</si>
  <si>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</si>
  <si>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</si>
  <si>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</si>
  <si>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</si>
  <si>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</si>
  <si>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</si>
  <si>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</si>
  <si>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</si>
  <si>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</si>
  <si>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</si>
  <si>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</si>
  <si>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</si>
  <si>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</si>
  <si>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</si>
  <si>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</si>
  <si>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</si>
  <si>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</si>
  <si>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</si>
  <si>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</si>
  <si>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</si>
  <si>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</si>
  <si>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</si>
  <si>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</si>
  <si>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</si>
  <si>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</si>
  <si>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</si>
  <si>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</si>
  <si>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</si>
  <si>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</si>
  <si>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</si>
  <si>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</si>
  <si>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</si>
  <si>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</si>
  <si>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</si>
  <si>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</si>
  <si>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</si>
  <si>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</si>
  <si>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</si>
  <si>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</si>
  <si>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</si>
  <si>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</si>
  <si>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</si>
  <si>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</si>
  <si>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</si>
  <si>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</si>
  <si>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</si>
  <si>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</si>
  <si>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</si>
  <si>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</si>
  <si>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</si>
  <si>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</si>
  <si>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</si>
  <si>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</si>
  <si>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</si>
  <si>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</si>
  <si>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</si>
  <si>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</si>
  <si>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</si>
  <si>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</si>
  <si>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</si>
  <si>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</si>
  <si>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</si>
  <si>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</si>
  <si>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</si>
  <si>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</si>
  <si>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</si>
  <si>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</si>
  <si>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</si>
  <si>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</si>
  <si>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</si>
  <si>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</si>
  <si>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</si>
  <si>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</si>
  <si>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</si>
  <si>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</si>
  <si>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</si>
  <si>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</si>
  <si>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</si>
  <si>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</si>
  <si>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</si>
  <si>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</si>
  <si>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</si>
  <si>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</si>
  <si>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</si>
  <si>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</si>
  <si>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</si>
  <si>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</si>
  <si>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</si>
  <si>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</si>
  <si>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</si>
  <si>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</si>
  <si>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</si>
  <si>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</si>
  <si>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</si>
  <si>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</si>
  <si>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</si>
  <si>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</si>
  <si>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</si>
  <si>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</si>
  <si>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</si>
  <si>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</si>
  <si>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</si>
  <si>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</si>
  <si>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</si>
  <si>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</si>
  <si>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</si>
  <si>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</si>
  <si>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</si>
  <si>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</si>
  <si>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</si>
  <si>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</si>
  <si>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</si>
  <si>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</si>
  <si>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</si>
  <si>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</si>
  <si>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</si>
  <si>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</si>
  <si>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</si>
  <si>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</si>
  <si>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</si>
  <si>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</si>
  <si>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</si>
  <si>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</si>
  <si>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</si>
  <si>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</si>
  <si>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</si>
  <si>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</si>
  <si>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</si>
  <si>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</si>
  <si>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</si>
  <si>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</si>
  <si>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</si>
  <si>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</si>
  <si>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</si>
  <si>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</si>
  <si>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</si>
  <si>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</si>
  <si>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</si>
  <si>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</si>
  <si>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</si>
  <si>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</si>
  <si>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</si>
  <si>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</si>
  <si>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</si>
  <si>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</si>
  <si>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</si>
  <si>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</si>
  <si>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</si>
  <si>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</si>
  <si>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</si>
  <si>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</si>
  <si>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</si>
  <si>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</si>
  <si>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</si>
  <si>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</si>
  <si>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</si>
  <si>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</si>
  <si>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</si>
  <si>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</si>
  <si>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</si>
  <si>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</si>
  <si>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</si>
  <si>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</si>
  <si>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</si>
  <si>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</si>
  <si>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</si>
  <si>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</si>
  <si>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</si>
  <si>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</si>
  <si>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</si>
  <si>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</si>
  <si>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</si>
  <si>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</si>
  <si>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</si>
  <si>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</si>
  <si>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</si>
  <si>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</si>
  <si>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</si>
  <si>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</si>
  <si>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</si>
  <si>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</si>
  <si>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</si>
  <si>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</si>
  <si>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</si>
  <si>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</si>
  <si>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</si>
  <si>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</si>
  <si>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</si>
  <si>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</si>
  <si>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</si>
  <si>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</si>
  <si>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</si>
  <si>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</si>
  <si>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</si>
  <si>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</si>
  <si>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</si>
  <si>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</si>
  <si>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</si>
  <si>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</si>
  <si>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</si>
  <si>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</si>
  <si>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</si>
  <si>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</si>
  <si>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</si>
  <si>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</si>
  <si>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</si>
  <si>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</si>
  <si>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</si>
  <si>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</si>
  <si>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</si>
  <si>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</si>
  <si>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</si>
  <si>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</si>
  <si>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</si>
  <si>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</si>
  <si>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</si>
  <si>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</si>
  <si>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</si>
  <si>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</si>
  <si>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</si>
  <si>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</si>
  <si>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</si>
  <si>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</si>
  <si>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</si>
  <si>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</si>
  <si>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</si>
  <si>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</si>
  <si>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</si>
  <si>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</si>
  <si>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</si>
  <si>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</si>
  <si>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</si>
  <si>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</si>
  <si>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</si>
  <si>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</si>
  <si>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</si>
  <si>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</si>
  <si>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</si>
  <si>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</si>
  <si>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</si>
  <si>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</si>
  <si>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</si>
  <si>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</si>
  <si>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</si>
  <si>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</si>
  <si>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</si>
  <si>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</si>
  <si>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</si>
  <si>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</si>
  <si>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</si>
  <si>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</si>
  <si>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</si>
  <si>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</si>
  <si>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</si>
  <si>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</si>
  <si>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</si>
  <si>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</si>
  <si>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</si>
  <si>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</si>
  <si>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</si>
  <si>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</si>
  <si>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</si>
  <si>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</si>
  <si>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</si>
  <si>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</si>
  <si>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</si>
  <si>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</si>
  <si>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</si>
  <si>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</si>
  <si>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</si>
  <si>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</si>
  <si>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</si>
  <si>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</si>
  <si>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</si>
  <si>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</si>
  <si>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</si>
  <si>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</si>
  <si>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</si>
  <si>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</si>
  <si>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</si>
  <si>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</si>
  <si>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</si>
  <si>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</si>
  <si>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</si>
  <si>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</si>
  <si>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</si>
  <si>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</si>
  <si>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</si>
  <si>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</si>
  <si>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</si>
  <si>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</si>
  <si>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</si>
  <si>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</si>
  <si>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</si>
  <si>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</si>
  <si>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</si>
  <si>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</si>
  <si>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</si>
  <si>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</si>
  <si>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</si>
  <si>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</si>
  <si>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</si>
  <si>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</si>
  <si>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</si>
  <si>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</si>
  <si>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</si>
  <si>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</si>
  <si>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</si>
  <si>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</si>
  <si>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</si>
  <si>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</si>
  <si>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</si>
  <si>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</si>
  <si>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</si>
  <si>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</si>
  <si>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</si>
  <si>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</si>
  <si>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</si>
  <si>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</si>
  <si>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</si>
  <si>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</si>
  <si>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</si>
  <si>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</si>
  <si>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</si>
  <si>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</si>
  <si>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</si>
  <si>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</si>
  <si>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</si>
  <si>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</si>
  <si>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</si>
  <si>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</si>
  <si>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</si>
  <si>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</si>
  <si>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</si>
  <si>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</si>
  <si>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</si>
  <si>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</si>
  <si>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</si>
  <si>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</si>
  <si>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</si>
  <si>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</si>
  <si>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</si>
  <si>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</si>
  <si>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</si>
  <si>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</si>
  <si>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</si>
  <si>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</si>
  <si>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</si>
  <si>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</si>
  <si>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</si>
  <si>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</si>
  <si>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</si>
  <si>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</si>
  <si>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</si>
  <si>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</si>
  <si>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</si>
  <si>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</si>
  <si>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</si>
  <si>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</si>
  <si>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</si>
  <si>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</si>
  <si>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</si>
  <si>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</si>
  <si>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</si>
  <si>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</si>
  <si>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</si>
  <si>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</si>
  <si>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</si>
  <si>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</si>
  <si>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</si>
  <si>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</si>
  <si>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</si>
  <si>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</si>
  <si>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</si>
  <si>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</si>
  <si>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</si>
  <si>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</si>
  <si>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</si>
  <si>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</si>
  <si>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</si>
  <si>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</si>
  <si>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</si>
  <si>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</si>
  <si>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</si>
  <si>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</si>
  <si>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</si>
  <si>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</si>
  <si>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</si>
  <si>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</si>
  <si>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</si>
  <si>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</si>
  <si>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</si>
  <si>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</si>
  <si>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</si>
  <si>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</si>
  <si>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</si>
  <si>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</si>
  <si>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</si>
  <si>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</si>
  <si>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</si>
  <si>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</si>
  <si>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</si>
  <si>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</si>
  <si>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</si>
  <si>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</si>
  <si>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</si>
  <si>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</si>
  <si>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</si>
  <si>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</si>
  <si>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</si>
  <si>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</si>
  <si>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</si>
  <si>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</si>
  <si>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</si>
  <si>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</si>
  <si>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</si>
  <si>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</si>
  <si>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</si>
  <si>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</si>
  <si>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</si>
  <si>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</si>
  <si>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</si>
  <si>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</si>
  <si>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</si>
  <si>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</si>
  <si>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</si>
  <si>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</si>
  <si>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</si>
  <si>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</si>
  <si>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</si>
  <si>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</si>
  <si>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</si>
  <si>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</si>
  <si>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</si>
  <si>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</si>
  <si>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</si>
  <si>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</si>
  <si>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</si>
  <si>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</si>
  <si>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</si>
  <si>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</si>
  <si>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</si>
  <si>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</si>
  <si>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</si>
  <si>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</si>
  <si>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</si>
  <si>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</si>
  <si>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</si>
  <si>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</si>
  <si>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</si>
  <si>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</si>
  <si>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</si>
  <si>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</si>
  <si>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</si>
  <si>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</si>
  <si>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</si>
  <si>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</si>
  <si>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</si>
  <si>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</si>
  <si>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</si>
  <si>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</si>
  <si>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</si>
  <si>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</si>
  <si>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</si>
  <si>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</si>
  <si>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</si>
  <si>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</si>
  <si>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</si>
  <si>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</si>
  <si>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</si>
  <si>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</si>
  <si>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</si>
  <si>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</si>
  <si>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</si>
  <si>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</si>
  <si>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</si>
  <si>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</si>
  <si>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</si>
  <si>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</si>
  <si>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</si>
  <si>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</si>
  <si>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</si>
  <si>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</si>
  <si>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</si>
  <si>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</si>
  <si>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</si>
  <si>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</si>
  <si>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</si>
  <si>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</si>
  <si>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</si>
  <si>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</si>
  <si>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</si>
  <si>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</si>
  <si>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</si>
  <si>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</si>
  <si>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</si>
  <si>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</si>
  <si>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</si>
  <si>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</si>
  <si>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</si>
  <si>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</si>
  <si>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</si>
  <si>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</si>
  <si>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</si>
  <si>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</si>
  <si>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</si>
  <si>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</si>
  <si>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</si>
  <si>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</si>
  <si>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</si>
  <si>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</si>
  <si>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</si>
  <si>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</si>
  <si>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</si>
  <si>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</si>
  <si>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</si>
  <si>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</si>
  <si>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</si>
  <si>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</si>
  <si>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</si>
  <si>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</si>
  <si>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</si>
  <si>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</si>
  <si>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</si>
  <si>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</si>
  <si>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</si>
  <si>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</si>
  <si>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</si>
  <si>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</si>
  <si>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</si>
  <si>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</si>
  <si>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</si>
  <si>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</si>
  <si>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</si>
  <si>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</si>
  <si>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</si>
  <si>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</si>
  <si>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</si>
  <si>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</si>
  <si>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</si>
  <si>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</si>
  <si>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</si>
  <si>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</si>
  <si>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</si>
  <si>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</si>
  <si>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</si>
  <si>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</si>
  <si>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</si>
  <si>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</si>
  <si>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</si>
  <si>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</si>
  <si>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</si>
  <si>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</si>
  <si>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</si>
  <si>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</si>
  <si>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</si>
  <si>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</si>
  <si>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</si>
  <si>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</si>
  <si>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</si>
  <si>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</si>
  <si>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</si>
  <si>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</si>
  <si>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</si>
  <si>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</si>
  <si>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</si>
  <si>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</si>
  <si>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</si>
  <si>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</si>
  <si>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</si>
  <si>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</si>
  <si>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</si>
  <si>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</si>
  <si>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</si>
  <si>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</si>
  <si>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</si>
  <si>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</si>
  <si>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</si>
  <si>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</si>
  <si>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</si>
  <si>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</si>
  <si>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</si>
  <si>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</si>
  <si>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</si>
  <si>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</si>
  <si>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</si>
  <si>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</si>
  <si>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</si>
  <si>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</si>
  <si>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</si>
  <si>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</si>
  <si>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</si>
  <si>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</si>
  <si>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</si>
  <si>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</si>
  <si>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</si>
  <si>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</si>
  <si>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</si>
  <si>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</si>
  <si>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</si>
  <si>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</si>
  <si>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</si>
  <si>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</si>
  <si>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</si>
  <si>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</si>
  <si>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</si>
  <si>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</si>
  <si>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</si>
  <si>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</si>
  <si>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</si>
  <si>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</si>
  <si>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</si>
  <si>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</si>
  <si>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</si>
  <si>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</si>
  <si>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</si>
  <si>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</si>
  <si>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</si>
  <si>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</si>
  <si>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</si>
  <si>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</si>
  <si>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</si>
  <si>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</si>
  <si>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</si>
  <si>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</si>
  <si>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</si>
  <si>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</si>
  <si>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</si>
  <si>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</si>
  <si>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</si>
  <si>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</si>
  <si>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</si>
  <si>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</si>
  <si>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</si>
  <si>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</si>
  <si>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</si>
  <si>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</si>
  <si>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</si>
  <si>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</si>
  <si>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</si>
  <si>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</si>
  <si>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</si>
  <si>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</si>
  <si>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</si>
  <si>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</si>
  <si>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</si>
  <si>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</si>
  <si>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</si>
  <si>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</si>
  <si>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</si>
  <si>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</si>
  <si>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</si>
  <si>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</si>
  <si>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</si>
  <si>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</si>
  <si>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</si>
  <si>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</si>
  <si>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</si>
  <si>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</si>
  <si>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</si>
  <si>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</si>
  <si>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</si>
  <si>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</si>
  <si>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</si>
  <si>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</si>
  <si>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</si>
  <si>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</si>
  <si>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</si>
  <si>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</si>
  <si>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</si>
  <si>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</si>
  <si>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</si>
  <si>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</si>
  <si>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</si>
  <si>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</si>
  <si>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</si>
  <si>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</si>
  <si>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</si>
  <si>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</si>
  <si>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</si>
  <si>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</si>
  <si>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</si>
  <si>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</si>
  <si>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</si>
  <si>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</si>
  <si>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</si>
  <si>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</si>
  <si>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</si>
  <si>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</si>
  <si>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</si>
  <si>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</si>
  <si>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</si>
  <si>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</si>
  <si>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</si>
  <si>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</si>
  <si>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</si>
  <si>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</si>
  <si>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</si>
  <si>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</si>
  <si>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</si>
  <si>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</si>
  <si>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</si>
  <si>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</si>
  <si>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</si>
  <si>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</si>
  <si>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</si>
  <si>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</si>
  <si>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</si>
  <si>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</si>
  <si>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</si>
  <si>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</si>
  <si>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</si>
  <si>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</si>
  <si>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</si>
  <si>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</si>
  <si>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</si>
  <si>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</si>
  <si>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</si>
  <si>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</si>
  <si>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</si>
  <si>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</si>
  <si>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</si>
  <si>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</si>
  <si>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</si>
  <si>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</si>
  <si>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</si>
  <si>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</si>
  <si>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</si>
  <si>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</si>
  <si>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</si>
  <si>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</si>
  <si>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</si>
  <si>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</si>
  <si>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</si>
  <si>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</si>
  <si>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</si>
  <si>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ALBERT SYLVESTER RICHMOND;Alfred Garnette Pancake;Andrea Krenn</t>
  </si>
  <si>
    <t>Chow Yung-Heng Henry</t>
  </si>
  <si>
    <t>Chien Hsin Yue</t>
  </si>
  <si>
    <t>April Holly Funk</t>
  </si>
  <si>
    <t>949 pattullo</t>
  </si>
  <si>
    <t>002-256-525;90172682;002-406-349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</si>
</sst>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2026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2149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2150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2027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2160</v>
      </c>
      <c r="B9" t="s">
        <v>2162</v>
      </c>
      <c r="C9" t="s">
        <v>2161</v>
      </c>
      <c r="D9" t="str">
        <f>CONCATENATE(C9," ",B9)</f>
        <v>AU-0007 Automation Project 07</v>
      </c>
      <c r="E9" t="s">
        <v>186</v>
      </c>
      <c r="F9" t="s">
        <v>191</v>
      </c>
      <c r="G9" t="s">
        <v>2163</v>
      </c>
      <c r="H9" t="s">
        <v>2164</v>
      </c>
      <c r="I9" t="s">
        <v>2165</v>
      </c>
      <c r="J9" t="s">
        <v>2166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1966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1965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D1" workbookViewId="0">
      <selection activeCell="O34" sqref="O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1763</v>
      </c>
      <c r="E1" s="3" t="s">
        <v>509</v>
      </c>
      <c r="F1" s="3" t="s">
        <v>1676</v>
      </c>
      <c r="G1" s="3" t="s">
        <v>1559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1659</v>
      </c>
      <c r="M1" s="3" t="s">
        <v>1660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1656</v>
      </c>
      <c r="AA1" s="3" t="s">
        <v>1668</v>
      </c>
      <c r="AB1" s="3" t="s">
        <v>1669</v>
      </c>
      <c r="AC1" s="3" t="s">
        <v>1670</v>
      </c>
      <c r="AD1" s="3" t="s">
        <v>1671</v>
      </c>
      <c r="AE1" s="3" t="s">
        <v>2262</v>
      </c>
      <c r="AF1" s="3" t="s">
        <v>2263</v>
      </c>
      <c r="AG1" s="3" t="s">
        <v>1332</v>
      </c>
      <c r="AH1" s="3" t="s">
        <v>1711</v>
      </c>
      <c r="AI1" s="3" t="s">
        <v>1710</v>
      </c>
      <c r="AJ1" s="3" t="s">
        <v>1806</v>
      </c>
      <c r="AK1" s="3" t="s">
        <v>1807</v>
      </c>
      <c r="AL1" s="3" t="s">
        <v>1623</v>
      </c>
      <c r="AM1" s="3" t="s">
        <v>523</v>
      </c>
      <c r="AN1" s="3" t="s">
        <v>524</v>
      </c>
      <c r="AO1" s="3" t="s">
        <v>1776</v>
      </c>
      <c r="AP1" s="3" t="s">
        <v>525</v>
      </c>
      <c r="AQ1" s="3" t="s">
        <v>526</v>
      </c>
      <c r="AR1" s="3" t="s">
        <v>527</v>
      </c>
      <c r="AS1" s="3" t="s">
        <v>1652</v>
      </c>
      <c r="AT1" s="3" t="s">
        <v>1768</v>
      </c>
      <c r="AU1" s="3" t="s">
        <v>1769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1736</v>
      </c>
      <c r="CN1" s="3" t="s">
        <v>1737</v>
      </c>
      <c r="CO1" s="3" t="s">
        <v>1731</v>
      </c>
      <c r="CP1" s="3" t="s">
        <v>1732</v>
      </c>
      <c r="CQ1" s="3" t="s">
        <v>1783</v>
      </c>
      <c r="CR1" s="3" t="s">
        <v>1784</v>
      </c>
      <c r="CS1" s="3" t="s">
        <v>1785</v>
      </c>
    </row>
    <row r="2" spans="1:97" x14ac:dyDescent="0.3">
      <c r="A2" t="s">
        <v>1470</v>
      </c>
      <c r="B2" t="s">
        <v>1008</v>
      </c>
      <c r="C2" t="s">
        <v>1007</v>
      </c>
      <c r="D2" t="s">
        <v>1969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1678</v>
      </c>
      <c r="R2" t="s">
        <v>1713</v>
      </c>
      <c r="T2" t="s">
        <v>2146</v>
      </c>
      <c r="U2" t="s">
        <v>1743</v>
      </c>
      <c r="V2" t="s">
        <v>559</v>
      </c>
      <c r="W2" t="s">
        <v>441</v>
      </c>
      <c r="X2" s="4">
        <v>44615</v>
      </c>
      <c r="Y2" t="s">
        <v>560</v>
      </c>
      <c r="Z2" t="s">
        <v>1657</v>
      </c>
      <c r="AA2" t="s">
        <v>264</v>
      </c>
      <c r="AB2" t="s">
        <v>264</v>
      </c>
      <c r="AC2" t="s">
        <v>1672</v>
      </c>
      <c r="AD2" t="s">
        <v>1673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495</v>
      </c>
      <c r="F3" s="4">
        <v>45495</v>
      </c>
      <c r="H3" t="s">
        <v>1558</v>
      </c>
      <c r="I3" t="s">
        <v>2356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1758</v>
      </c>
      <c r="Y3" t="s">
        <v>578</v>
      </c>
      <c r="Z3" t="s">
        <v>1658</v>
      </c>
      <c r="AA3" t="s">
        <v>266</v>
      </c>
      <c r="AB3" t="s">
        <v>264</v>
      </c>
      <c r="AC3" t="s">
        <v>1675</v>
      </c>
      <c r="AD3" t="s">
        <v>1674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1677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1712</v>
      </c>
      <c r="R4" t="s">
        <v>1714</v>
      </c>
      <c r="T4" t="s">
        <v>1679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1680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1759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2416</v>
      </c>
      <c r="E6" t="s">
        <v>490</v>
      </c>
      <c r="I6" t="s">
        <v>2356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2378</v>
      </c>
      <c r="R6" t="s">
        <v>1715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1964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1770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1771</v>
      </c>
      <c r="R7" t="s">
        <v>1772</v>
      </c>
      <c r="T7" t="s">
        <v>1773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1774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1758</v>
      </c>
      <c r="Y8" t="s">
        <v>578</v>
      </c>
      <c r="Z8" t="s">
        <v>1658</v>
      </c>
      <c r="AA8" t="s">
        <v>266</v>
      </c>
      <c r="AB8" t="s">
        <v>264</v>
      </c>
      <c r="AC8" t="s">
        <v>1675</v>
      </c>
      <c r="AD8" t="s">
        <v>1674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1786</v>
      </c>
      <c r="B9" t="s">
        <v>1008</v>
      </c>
      <c r="C9" t="s">
        <v>1007</v>
      </c>
      <c r="D9" t="s">
        <v>1969</v>
      </c>
      <c r="E9" t="s">
        <v>490</v>
      </c>
      <c r="I9" t="s">
        <v>2356</v>
      </c>
      <c r="J9" s="4">
        <v>45209</v>
      </c>
      <c r="L9" s="8">
        <v>0</v>
      </c>
      <c r="M9" s="8">
        <v>0</v>
      </c>
      <c r="O9" t="s">
        <v>191</v>
      </c>
      <c r="P9" t="s">
        <v>1787</v>
      </c>
      <c r="R9" t="s">
        <v>1788</v>
      </c>
      <c r="T9" t="s">
        <v>1789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1803</v>
      </c>
      <c r="E10" t="s">
        <v>490</v>
      </c>
      <c r="I10" t="s">
        <v>2356</v>
      </c>
      <c r="J10" s="4">
        <v>45209</v>
      </c>
      <c r="L10" s="8">
        <v>0</v>
      </c>
      <c r="M10" s="8">
        <v>0</v>
      </c>
      <c r="O10" t="s">
        <v>191</v>
      </c>
      <c r="P10" t="s">
        <v>1787</v>
      </c>
      <c r="R10" t="s">
        <v>1788</v>
      </c>
      <c r="T10" t="s">
        <v>1789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2178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2378</v>
      </c>
      <c r="R11" t="s">
        <v>1715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2178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2378</v>
      </c>
      <c r="R12" t="s">
        <v>1715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2178</v>
      </c>
      <c r="E13" t="s">
        <v>495</v>
      </c>
      <c r="H13" t="s">
        <v>2181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2378</v>
      </c>
      <c r="R13" t="s">
        <v>1715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2178</v>
      </c>
      <c r="E14" t="s">
        <v>2179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2378</v>
      </c>
      <c r="R14" t="s">
        <v>1715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2178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2378</v>
      </c>
      <c r="R15" t="s">
        <v>1715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2178</v>
      </c>
      <c r="E16" t="s">
        <v>2180</v>
      </c>
      <c r="F16" s="4">
        <v>45750</v>
      </c>
      <c r="G16" t="s">
        <v>2181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2378</v>
      </c>
      <c r="R16" t="s">
        <v>1715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2178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2378</v>
      </c>
      <c r="R17" t="s">
        <v>1715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2178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2378</v>
      </c>
      <c r="R18" t="s">
        <v>1715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2388</v>
      </c>
      <c r="B19" t="s">
        <v>1008</v>
      </c>
      <c r="C19" t="s">
        <v>1007</v>
      </c>
      <c r="D19" t="s">
        <v>1969</v>
      </c>
      <c r="E19" t="s">
        <v>490</v>
      </c>
      <c r="I19" t="s">
        <v>2356</v>
      </c>
      <c r="J19" s="4">
        <v>45209</v>
      </c>
      <c r="L19" s="8">
        <v>0</v>
      </c>
      <c r="M19" s="8">
        <v>0</v>
      </c>
      <c r="O19" t="s">
        <v>191</v>
      </c>
      <c r="P19" t="s">
        <v>1787</v>
      </c>
      <c r="R19" t="s">
        <v>1788</v>
      </c>
      <c r="T19" t="s">
        <v>1789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2389</v>
      </c>
      <c r="E20" t="s">
        <v>490</v>
      </c>
      <c r="I20" t="s">
        <v>2356</v>
      </c>
      <c r="L20" s="8">
        <v>0</v>
      </c>
      <c r="M20" s="8">
        <v>0</v>
      </c>
      <c r="O20" t="s">
        <v>191</v>
      </c>
      <c r="P20" t="s">
        <v>1787</v>
      </c>
      <c r="R20" t="s">
        <v>1788</v>
      </c>
      <c r="T20" t="s">
        <v>1789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2404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1787</v>
      </c>
      <c r="R21" t="s">
        <v>1713</v>
      </c>
      <c r="T21" t="s">
        <v>1789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2409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1787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2405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1787</v>
      </c>
      <c r="R23" t="s">
        <v>1713</v>
      </c>
      <c r="T23" t="s">
        <v>1789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2406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1787</v>
      </c>
      <c r="R24" t="s">
        <v>1713</v>
      </c>
      <c r="T24" t="s">
        <v>1789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2410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1787</v>
      </c>
      <c r="T25" t="s">
        <v>1758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2407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1787</v>
      </c>
      <c r="R26" t="s">
        <v>1713</v>
      </c>
      <c r="T26" t="s">
        <v>1789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2411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1787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2408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1787</v>
      </c>
      <c r="R28" t="s">
        <v>1713</v>
      </c>
      <c r="T28" t="s">
        <v>1789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2412</v>
      </c>
      <c r="F29" s="4"/>
      <c r="J29" s="4"/>
      <c r="K29" s="4">
        <v>45373</v>
      </c>
      <c r="L29" s="8">
        <v>0</v>
      </c>
      <c r="M29" s="8">
        <v>0</v>
      </c>
      <c r="P29" t="s">
        <v>1787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2413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1713</v>
      </c>
      <c r="T30" t="s">
        <v>1758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2414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2415</v>
      </c>
      <c r="L32" s="8">
        <v>0</v>
      </c>
      <c r="M32" s="8">
        <v>0</v>
      </c>
      <c r="P32" t="s">
        <v>658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2356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2378</v>
      </c>
      <c r="R33" t="s">
        <v>1715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2417</v>
      </c>
      <c r="E34" t="s">
        <v>490</v>
      </c>
      <c r="I34" t="s">
        <v>2356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1771</v>
      </c>
      <c r="R34" t="s">
        <v>1715</v>
      </c>
      <c r="T34" t="s">
        <v>1758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1663</v>
      </c>
      <c r="C1" s="3" t="s">
        <v>1653</v>
      </c>
      <c r="D1" s="3" t="s">
        <v>1654</v>
      </c>
      <c r="E1" s="3" t="s">
        <v>1655</v>
      </c>
    </row>
    <row r="2" spans="1:5" x14ac:dyDescent="0.3">
      <c r="A2" t="s">
        <v>1661</v>
      </c>
      <c r="B2" t="s">
        <v>264</v>
      </c>
      <c r="C2" s="4">
        <v>45374</v>
      </c>
      <c r="D2" s="4">
        <v>45412</v>
      </c>
      <c r="E2" t="s">
        <v>1664</v>
      </c>
    </row>
    <row r="3" spans="1:5" x14ac:dyDescent="0.3">
      <c r="A3" t="s">
        <v>1661</v>
      </c>
      <c r="B3" t="s">
        <v>264</v>
      </c>
      <c r="C3" s="4">
        <v>45413</v>
      </c>
      <c r="D3" s="4">
        <v>45778</v>
      </c>
      <c r="E3" t="s">
        <v>1665</v>
      </c>
    </row>
    <row r="4" spans="1:5" x14ac:dyDescent="0.3">
      <c r="A4" t="s">
        <v>1661</v>
      </c>
      <c r="B4" t="s">
        <v>266</v>
      </c>
      <c r="C4" s="4">
        <v>45779</v>
      </c>
      <c r="D4" s="4">
        <v>49431</v>
      </c>
      <c r="E4" t="s">
        <v>1666</v>
      </c>
    </row>
    <row r="5" spans="1:5" x14ac:dyDescent="0.3">
      <c r="A5" t="s">
        <v>1662</v>
      </c>
      <c r="B5" t="s">
        <v>264</v>
      </c>
      <c r="C5" s="4">
        <v>45381</v>
      </c>
      <c r="D5" s="4">
        <v>45412</v>
      </c>
      <c r="E5" t="s">
        <v>1667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1681</v>
      </c>
      <c r="C1" s="3" t="s">
        <v>1690</v>
      </c>
      <c r="D1" s="3" t="s">
        <v>1682</v>
      </c>
      <c r="E1" s="3" t="s">
        <v>1683</v>
      </c>
      <c r="F1" s="3" t="s">
        <v>1684</v>
      </c>
      <c r="G1" s="3" t="s">
        <v>1685</v>
      </c>
      <c r="H1" s="3" t="s">
        <v>1686</v>
      </c>
      <c r="I1" s="3" t="s">
        <v>1687</v>
      </c>
      <c r="J1" s="3" t="s">
        <v>1688</v>
      </c>
      <c r="K1" s="3" t="s">
        <v>1689</v>
      </c>
    </row>
    <row r="2" spans="1:11" x14ac:dyDescent="0.3">
      <c r="A2" t="s">
        <v>1470</v>
      </c>
      <c r="B2" t="s">
        <v>1610</v>
      </c>
      <c r="C2" t="s">
        <v>1707</v>
      </c>
      <c r="D2" t="s">
        <v>1745</v>
      </c>
      <c r="E2">
        <v>500</v>
      </c>
      <c r="F2" t="s">
        <v>1691</v>
      </c>
      <c r="I2" t="s">
        <v>1692</v>
      </c>
      <c r="J2" t="s">
        <v>1693</v>
      </c>
      <c r="K2" t="s">
        <v>1694</v>
      </c>
    </row>
    <row r="3" spans="1:11" x14ac:dyDescent="0.3">
      <c r="A3" t="s">
        <v>1470</v>
      </c>
      <c r="B3" t="s">
        <v>1695</v>
      </c>
      <c r="C3" s="14" t="s">
        <v>1708</v>
      </c>
      <c r="D3" t="s">
        <v>1746</v>
      </c>
      <c r="E3">
        <v>25</v>
      </c>
      <c r="F3" t="s">
        <v>1696</v>
      </c>
      <c r="G3" t="s">
        <v>1697</v>
      </c>
      <c r="H3" t="s">
        <v>1698</v>
      </c>
      <c r="I3" t="s">
        <v>1699</v>
      </c>
      <c r="K3" t="s">
        <v>1700</v>
      </c>
    </row>
    <row r="4" spans="1:11" x14ac:dyDescent="0.3">
      <c r="A4" t="s">
        <v>1470</v>
      </c>
      <c r="B4" t="s">
        <v>1701</v>
      </c>
      <c r="C4" t="s">
        <v>1709</v>
      </c>
      <c r="F4" t="s">
        <v>1702</v>
      </c>
      <c r="I4" t="s">
        <v>1703</v>
      </c>
      <c r="J4" t="s">
        <v>1704</v>
      </c>
      <c r="K4" t="s">
        <v>1705</v>
      </c>
    </row>
    <row r="5" spans="1:11" x14ac:dyDescent="0.3">
      <c r="A5" t="s">
        <v>1470</v>
      </c>
      <c r="K5" t="s">
        <v>1764</v>
      </c>
    </row>
    <row r="6" spans="1:11" x14ac:dyDescent="0.3">
      <c r="A6" t="s">
        <v>1470</v>
      </c>
      <c r="B6" t="s">
        <v>1706</v>
      </c>
      <c r="K6" t="s">
        <v>1857</v>
      </c>
    </row>
    <row r="7" spans="1:11" x14ac:dyDescent="0.3">
      <c r="A7" t="s">
        <v>1471</v>
      </c>
      <c r="B7" t="s">
        <v>1610</v>
      </c>
      <c r="D7" t="s">
        <v>1744</v>
      </c>
      <c r="E7">
        <v>900</v>
      </c>
      <c r="F7" t="s">
        <v>1691</v>
      </c>
      <c r="I7" t="s">
        <v>1692</v>
      </c>
      <c r="J7" t="s">
        <v>1693</v>
      </c>
      <c r="K7" t="s">
        <v>1694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1808</v>
      </c>
      <c r="C1" s="3" t="s">
        <v>1828</v>
      </c>
      <c r="D1" s="3" t="s">
        <v>1809</v>
      </c>
      <c r="E1" s="3" t="s">
        <v>1810</v>
      </c>
      <c r="F1" s="3" t="s">
        <v>1811</v>
      </c>
      <c r="G1" s="3" t="s">
        <v>1812</v>
      </c>
      <c r="H1" s="3" t="s">
        <v>1813</v>
      </c>
      <c r="I1" s="3" t="s">
        <v>1814</v>
      </c>
      <c r="J1" s="3" t="s">
        <v>1815</v>
      </c>
      <c r="K1" s="3" t="s">
        <v>1816</v>
      </c>
    </row>
    <row r="2" spans="1:11" x14ac:dyDescent="0.3">
      <c r="A2" t="s">
        <v>1817</v>
      </c>
      <c r="B2" t="s">
        <v>522</v>
      </c>
      <c r="D2" s="4">
        <v>45543</v>
      </c>
      <c r="E2" t="s">
        <v>588</v>
      </c>
      <c r="F2" t="s">
        <v>1831</v>
      </c>
      <c r="H2" t="s">
        <v>264</v>
      </c>
      <c r="I2" s="4">
        <v>45565</v>
      </c>
      <c r="J2" t="s">
        <v>1031</v>
      </c>
      <c r="K2" t="s">
        <v>1842</v>
      </c>
    </row>
    <row r="3" spans="1:11" x14ac:dyDescent="0.3">
      <c r="A3" t="s">
        <v>1818</v>
      </c>
      <c r="B3" t="s">
        <v>1825</v>
      </c>
      <c r="D3" s="4">
        <v>45544</v>
      </c>
      <c r="E3" t="s">
        <v>588</v>
      </c>
      <c r="F3" t="s">
        <v>1832</v>
      </c>
      <c r="H3" t="s">
        <v>266</v>
      </c>
      <c r="I3" s="4"/>
      <c r="J3" t="s">
        <v>1838</v>
      </c>
      <c r="K3" t="s">
        <v>1845</v>
      </c>
    </row>
    <row r="4" spans="1:11" x14ac:dyDescent="0.3">
      <c r="A4" t="s">
        <v>1819</v>
      </c>
      <c r="B4" t="s">
        <v>1826</v>
      </c>
      <c r="D4" s="4">
        <v>45545</v>
      </c>
      <c r="E4" t="s">
        <v>3</v>
      </c>
      <c r="F4" t="s">
        <v>1836</v>
      </c>
      <c r="H4" t="s">
        <v>264</v>
      </c>
      <c r="I4" s="4">
        <v>45563</v>
      </c>
      <c r="J4" t="s">
        <v>1839</v>
      </c>
      <c r="K4" t="s">
        <v>1847</v>
      </c>
    </row>
    <row r="5" spans="1:11" x14ac:dyDescent="0.3">
      <c r="A5" t="s">
        <v>1820</v>
      </c>
      <c r="B5" t="s">
        <v>1851</v>
      </c>
      <c r="D5" s="4">
        <v>45546</v>
      </c>
      <c r="E5" t="s">
        <v>3</v>
      </c>
      <c r="F5" t="s">
        <v>1837</v>
      </c>
      <c r="H5" t="s">
        <v>264</v>
      </c>
      <c r="I5" s="4">
        <v>45562</v>
      </c>
      <c r="J5" t="s">
        <v>1840</v>
      </c>
      <c r="K5" t="s">
        <v>1843</v>
      </c>
    </row>
    <row r="6" spans="1:11" x14ac:dyDescent="0.3">
      <c r="A6" t="s">
        <v>1821</v>
      </c>
      <c r="B6" t="s">
        <v>1852</v>
      </c>
      <c r="D6" s="4">
        <v>45547</v>
      </c>
      <c r="E6" t="s">
        <v>588</v>
      </c>
      <c r="F6" t="s">
        <v>1833</v>
      </c>
      <c r="H6" t="s">
        <v>266</v>
      </c>
      <c r="I6" s="4"/>
      <c r="J6" t="s">
        <v>1841</v>
      </c>
      <c r="K6" t="s">
        <v>1848</v>
      </c>
    </row>
    <row r="7" spans="1:11" x14ac:dyDescent="0.3">
      <c r="A7" t="s">
        <v>1822</v>
      </c>
      <c r="B7" t="s">
        <v>1855</v>
      </c>
      <c r="D7" s="4">
        <v>45548</v>
      </c>
      <c r="E7" t="s">
        <v>588</v>
      </c>
      <c r="F7" t="s">
        <v>1834</v>
      </c>
      <c r="H7" t="s">
        <v>264</v>
      </c>
      <c r="I7" s="4">
        <v>45560</v>
      </c>
      <c r="J7" t="s">
        <v>1031</v>
      </c>
      <c r="K7" t="s">
        <v>1849</v>
      </c>
    </row>
    <row r="8" spans="1:11" x14ac:dyDescent="0.3">
      <c r="A8" t="s">
        <v>1823</v>
      </c>
      <c r="B8" t="s">
        <v>1827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1838</v>
      </c>
      <c r="K8" t="s">
        <v>1844</v>
      </c>
    </row>
    <row r="9" spans="1:11" x14ac:dyDescent="0.3">
      <c r="A9" t="s">
        <v>1824</v>
      </c>
      <c r="B9" t="s">
        <v>7</v>
      </c>
      <c r="C9" t="s">
        <v>1829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1839</v>
      </c>
      <c r="K9" t="s">
        <v>1846</v>
      </c>
    </row>
    <row r="10" spans="1:11" x14ac:dyDescent="0.3">
      <c r="A10" t="s">
        <v>1830</v>
      </c>
      <c r="B10" t="s">
        <v>1825</v>
      </c>
      <c r="D10" s="4">
        <v>45551</v>
      </c>
      <c r="E10" t="s">
        <v>588</v>
      </c>
      <c r="F10" t="s">
        <v>1835</v>
      </c>
      <c r="H10" t="s">
        <v>264</v>
      </c>
      <c r="I10" s="4">
        <v>45557</v>
      </c>
      <c r="J10" t="s">
        <v>1840</v>
      </c>
      <c r="K10" t="s">
        <v>1850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2028</v>
      </c>
      <c r="C1" s="3" t="s">
        <v>2029</v>
      </c>
      <c r="D1" s="3" t="s">
        <v>2030</v>
      </c>
      <c r="E1" s="3" t="s">
        <v>2031</v>
      </c>
      <c r="F1" s="3" t="s">
        <v>2032</v>
      </c>
      <c r="G1" s="3" t="s">
        <v>2033</v>
      </c>
      <c r="H1" s="3" t="s">
        <v>2034</v>
      </c>
      <c r="I1" s="3" t="s">
        <v>2035</v>
      </c>
      <c r="J1" s="3" t="s">
        <v>2036</v>
      </c>
      <c r="K1" s="3" t="s">
        <v>2037</v>
      </c>
      <c r="L1" s="3" t="s">
        <v>2038</v>
      </c>
      <c r="M1" s="3" t="s">
        <v>2039</v>
      </c>
      <c r="N1" s="3" t="s">
        <v>2040</v>
      </c>
      <c r="O1" s="3" t="s">
        <v>2041</v>
      </c>
      <c r="P1" s="3" t="s">
        <v>2042</v>
      </c>
      <c r="Q1" s="3" t="s">
        <v>2043</v>
      </c>
      <c r="R1" s="3" t="s">
        <v>2044</v>
      </c>
      <c r="S1" s="3" t="s">
        <v>2045</v>
      </c>
      <c r="T1" s="3" t="s">
        <v>2046</v>
      </c>
      <c r="U1" s="3" t="s">
        <v>2047</v>
      </c>
      <c r="V1" s="3" t="s">
        <v>2048</v>
      </c>
      <c r="W1" s="3" t="s">
        <v>2049</v>
      </c>
      <c r="X1" s="3" t="s">
        <v>2050</v>
      </c>
      <c r="Y1" s="3" t="s">
        <v>2051</v>
      </c>
      <c r="Z1" s="3" t="s">
        <v>2052</v>
      </c>
      <c r="AA1" s="3" t="s">
        <v>2053</v>
      </c>
      <c r="AB1" s="3" t="s">
        <v>2054</v>
      </c>
      <c r="AC1" s="3" t="s">
        <v>2055</v>
      </c>
      <c r="AD1" s="3" t="s">
        <v>1626</v>
      </c>
      <c r="AE1" s="3" t="s">
        <v>1627</v>
      </c>
    </row>
    <row r="2" spans="1:31" x14ac:dyDescent="0.3">
      <c r="A2" t="s">
        <v>1624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1625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1967</v>
      </c>
      <c r="E1" s="3" t="s">
        <v>587</v>
      </c>
    </row>
    <row r="2" spans="1:5" x14ac:dyDescent="0.3">
      <c r="A2" t="s">
        <v>1767</v>
      </c>
      <c r="B2" t="s">
        <v>3</v>
      </c>
      <c r="C2" t="s">
        <v>2024</v>
      </c>
      <c r="D2" t="s">
        <v>598</v>
      </c>
      <c r="E2" t="s">
        <v>1765</v>
      </c>
    </row>
    <row r="3" spans="1:5" x14ac:dyDescent="0.3">
      <c r="A3" t="s">
        <v>1767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1767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1767</v>
      </c>
      <c r="B5" t="s">
        <v>3</v>
      </c>
      <c r="C5" t="s">
        <v>594</v>
      </c>
      <c r="D5" t="s">
        <v>595</v>
      </c>
      <c r="E5" t="s">
        <v>1765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1766</v>
      </c>
      <c r="B8" t="s">
        <v>588</v>
      </c>
      <c r="C8" t="s">
        <v>786</v>
      </c>
      <c r="D8" t="s">
        <v>590</v>
      </c>
      <c r="E8" t="s">
        <v>1777</v>
      </c>
    </row>
    <row r="9" spans="1:5" x14ac:dyDescent="0.3">
      <c r="A9" t="s">
        <v>1766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1766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1766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1766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1775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1716</v>
      </c>
      <c r="C1" s="3" t="s">
        <v>1717</v>
      </c>
      <c r="D1" s="3" t="s">
        <v>1718</v>
      </c>
      <c r="E1" s="3" t="s">
        <v>1719</v>
      </c>
      <c r="F1" s="3" t="s">
        <v>1720</v>
      </c>
      <c r="G1" s="3" t="s">
        <v>1721</v>
      </c>
      <c r="H1" s="3" t="s">
        <v>1722</v>
      </c>
      <c r="I1" s="3" t="s">
        <v>1724</v>
      </c>
      <c r="J1" s="3" t="s">
        <v>1723</v>
      </c>
      <c r="K1" s="3" t="s">
        <v>1748</v>
      </c>
      <c r="L1" s="3" t="s">
        <v>1749</v>
      </c>
      <c r="M1" s="3" t="s">
        <v>1725</v>
      </c>
      <c r="N1" s="3" t="s">
        <v>1726</v>
      </c>
      <c r="O1" s="3" t="s">
        <v>1727</v>
      </c>
      <c r="P1" s="3" t="s">
        <v>1750</v>
      </c>
      <c r="Q1" s="3" t="s">
        <v>1751</v>
      </c>
      <c r="R1" s="3" t="s">
        <v>1728</v>
      </c>
      <c r="S1" s="3" t="s">
        <v>1729</v>
      </c>
      <c r="T1" s="3" t="s">
        <v>1730</v>
      </c>
      <c r="U1" s="3" t="s">
        <v>1752</v>
      </c>
      <c r="V1" s="3" t="s">
        <v>1753</v>
      </c>
    </row>
    <row r="2" spans="1:22" x14ac:dyDescent="0.3">
      <c r="A2" t="s">
        <v>555</v>
      </c>
      <c r="B2" t="s">
        <v>1738</v>
      </c>
      <c r="C2" t="s">
        <v>1739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1778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1779</v>
      </c>
      <c r="P2" s="16"/>
      <c r="Q2" s="17">
        <f>SUM(P2+N2)</f>
        <v>1500.5</v>
      </c>
      <c r="R2" t="s">
        <v>630</v>
      </c>
      <c r="S2" s="17">
        <v>200.79</v>
      </c>
      <c r="T2" s="16" t="s">
        <v>1778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1738</v>
      </c>
      <c r="C3" t="s">
        <v>1740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1779</v>
      </c>
      <c r="K3" s="17"/>
      <c r="L3" s="17">
        <f t="shared" ref="L3:L6" si="0">SUM(I3+K3)</f>
        <v>3500</v>
      </c>
      <c r="M3" t="s">
        <v>1742</v>
      </c>
      <c r="N3" s="6">
        <v>1500.99</v>
      </c>
      <c r="O3" s="16" t="s">
        <v>1779</v>
      </c>
      <c r="P3" s="16"/>
      <c r="Q3" s="17">
        <f t="shared" ref="Q3:Q6" si="1">SUM(P3+N3)</f>
        <v>1500.99</v>
      </c>
      <c r="S3" s="6"/>
      <c r="T3" t="s">
        <v>1779</v>
      </c>
      <c r="U3" s="6"/>
      <c r="V3" s="6"/>
    </row>
    <row r="4" spans="1:22" x14ac:dyDescent="0.3">
      <c r="A4" t="s">
        <v>555</v>
      </c>
      <c r="B4" t="s">
        <v>1741</v>
      </c>
      <c r="C4" t="s">
        <v>1739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1779</v>
      </c>
      <c r="K4" s="17"/>
      <c r="L4" s="17">
        <f t="shared" si="0"/>
        <v>3000</v>
      </c>
      <c r="N4" s="6"/>
      <c r="O4" t="s">
        <v>1779</v>
      </c>
      <c r="P4" s="16"/>
      <c r="Q4" s="17"/>
      <c r="S4" s="6"/>
      <c r="T4" t="s">
        <v>1779</v>
      </c>
      <c r="U4" s="6"/>
      <c r="V4" s="6"/>
    </row>
    <row r="5" spans="1:22" x14ac:dyDescent="0.3">
      <c r="A5" t="s">
        <v>555</v>
      </c>
      <c r="B5" t="s">
        <v>1741</v>
      </c>
      <c r="C5" t="s">
        <v>1740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1778</v>
      </c>
      <c r="K5" s="17">
        <f t="shared" ref="K5" si="2">I5*0.05</f>
        <v>6000</v>
      </c>
      <c r="L5" s="17">
        <f t="shared" si="0"/>
        <v>126000</v>
      </c>
      <c r="N5" s="6"/>
      <c r="O5" t="s">
        <v>1779</v>
      </c>
      <c r="P5" s="16"/>
      <c r="Q5" s="17"/>
      <c r="S5" s="6"/>
      <c r="T5" t="s">
        <v>1779</v>
      </c>
      <c r="U5" s="6"/>
      <c r="V5" s="6"/>
    </row>
    <row r="6" spans="1:22" x14ac:dyDescent="0.3">
      <c r="A6" t="s">
        <v>629</v>
      </c>
      <c r="B6" t="s">
        <v>1738</v>
      </c>
      <c r="C6" t="s">
        <v>1739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1779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1778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1778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1733</v>
      </c>
      <c r="E1" s="3" t="s">
        <v>634</v>
      </c>
      <c r="F1" s="3" t="s">
        <v>635</v>
      </c>
      <c r="G1" s="3" t="s">
        <v>1757</v>
      </c>
      <c r="H1" s="3" t="s">
        <v>622</v>
      </c>
      <c r="I1" s="3" t="s">
        <v>636</v>
      </c>
      <c r="J1" s="3" t="s">
        <v>1734</v>
      </c>
      <c r="K1" s="3" t="s">
        <v>1735</v>
      </c>
    </row>
    <row r="2" spans="1:11" x14ac:dyDescent="0.3">
      <c r="A2" t="s">
        <v>637</v>
      </c>
      <c r="B2" s="4">
        <v>44616</v>
      </c>
      <c r="C2" t="s">
        <v>638</v>
      </c>
      <c r="D2" t="s">
        <v>1755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1738</v>
      </c>
    </row>
    <row r="3" spans="1:11" x14ac:dyDescent="0.3">
      <c r="A3" t="s">
        <v>637</v>
      </c>
      <c r="B3" s="4">
        <v>44642</v>
      </c>
      <c r="C3" t="s">
        <v>640</v>
      </c>
      <c r="D3" t="s">
        <v>1756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1738</v>
      </c>
    </row>
    <row r="4" spans="1:11" x14ac:dyDescent="0.3">
      <c r="A4" t="s">
        <v>637</v>
      </c>
      <c r="B4" s="4">
        <v>44722</v>
      </c>
      <c r="C4" t="s">
        <v>643</v>
      </c>
      <c r="D4" t="s">
        <v>1755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1738</v>
      </c>
    </row>
    <row r="5" spans="1:11" x14ac:dyDescent="0.3">
      <c r="A5" t="s">
        <v>637</v>
      </c>
      <c r="B5" s="4">
        <v>44762</v>
      </c>
      <c r="C5" t="s">
        <v>644</v>
      </c>
      <c r="D5" t="s">
        <v>1754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1741</v>
      </c>
    </row>
    <row r="6" spans="1:11" x14ac:dyDescent="0.3">
      <c r="A6" t="s">
        <v>637</v>
      </c>
      <c r="B6" s="4">
        <v>44763</v>
      </c>
      <c r="C6" t="s">
        <v>7</v>
      </c>
      <c r="D6" t="s">
        <v>1754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1741</v>
      </c>
    </row>
    <row r="7" spans="1:11" x14ac:dyDescent="0.3">
      <c r="A7" t="s">
        <v>642</v>
      </c>
      <c r="B7" s="4">
        <v>44635</v>
      </c>
      <c r="C7" t="s">
        <v>657</v>
      </c>
      <c r="D7" t="s">
        <v>1755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1738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2155</v>
      </c>
      <c r="F2" t="s">
        <v>248</v>
      </c>
      <c r="G2" t="s">
        <v>249</v>
      </c>
      <c r="H2" t="s">
        <v>2152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1651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2154</v>
      </c>
      <c r="G5" t="s">
        <v>254</v>
      </c>
      <c r="H5" t="s">
        <v>2153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1651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2186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2187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2188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2189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3.6640625" bestFit="1" customWidth="1"/>
    <col min="35" max="35" width="13.44140625" bestFit="1" customWidth="1"/>
    <col min="36" max="36" width="10.664062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33203125" bestFit="1" customWidth="1"/>
    <col min="41" max="41" width="16.44140625" bestFit="1" customWidth="1"/>
    <col min="42" max="42" width="31.3320312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3320312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1970</v>
      </c>
      <c r="J1" s="38" t="s">
        <v>1971</v>
      </c>
      <c r="K1" s="38" t="s">
        <v>1972</v>
      </c>
      <c r="L1" s="38" t="s">
        <v>1973</v>
      </c>
      <c r="M1" s="38" t="s">
        <v>1974</v>
      </c>
      <c r="N1" s="38" t="s">
        <v>1975</v>
      </c>
      <c r="O1" s="38" t="s">
        <v>1976</v>
      </c>
      <c r="P1" s="38" t="s">
        <v>1977</v>
      </c>
      <c r="Q1" s="38" t="s">
        <v>1978</v>
      </c>
      <c r="R1" s="38" t="s">
        <v>665</v>
      </c>
      <c r="S1" s="38" t="s">
        <v>666</v>
      </c>
      <c r="T1" s="38" t="s">
        <v>667</v>
      </c>
      <c r="U1" s="38" t="s">
        <v>2282</v>
      </c>
      <c r="V1" s="38" t="s">
        <v>668</v>
      </c>
      <c r="W1" s="38" t="s">
        <v>1992</v>
      </c>
      <c r="X1" s="38" t="s">
        <v>2001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1780</v>
      </c>
      <c r="AQ1" s="38" t="s">
        <v>1781</v>
      </c>
      <c r="AR1" s="38" t="s">
        <v>1782</v>
      </c>
      <c r="AS1" s="38" t="s">
        <v>2003</v>
      </c>
      <c r="AT1" s="38" t="s">
        <v>2006</v>
      </c>
      <c r="AU1" s="38" t="s">
        <v>2007</v>
      </c>
      <c r="AV1" s="38" t="s">
        <v>2270</v>
      </c>
      <c r="AW1" s="38" t="s">
        <v>2271</v>
      </c>
      <c r="AX1" s="38" t="s">
        <v>2272</v>
      </c>
      <c r="AY1" s="38" t="s">
        <v>2273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2144</v>
      </c>
      <c r="J2" t="s">
        <v>561</v>
      </c>
      <c r="K2" t="s">
        <v>1979</v>
      </c>
      <c r="L2" t="s">
        <v>2141</v>
      </c>
      <c r="M2" t="s">
        <v>1980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2283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1761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2133</v>
      </c>
      <c r="E3" s="18">
        <v>550020201</v>
      </c>
      <c r="F3" t="s">
        <v>2134</v>
      </c>
      <c r="G3" t="s">
        <v>890</v>
      </c>
      <c r="I3" t="s">
        <v>1981</v>
      </c>
      <c r="J3" t="s">
        <v>1982</v>
      </c>
      <c r="K3" t="s">
        <v>1983</v>
      </c>
      <c r="L3" t="s">
        <v>1984</v>
      </c>
      <c r="M3" t="s">
        <v>1985</v>
      </c>
      <c r="N3" s="4">
        <f ca="1">TODAY()</f>
        <v>45982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2284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1761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45982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2133</v>
      </c>
      <c r="E7" s="18">
        <v>550020201</v>
      </c>
      <c r="F7" t="s">
        <v>2134</v>
      </c>
      <c r="G7" t="s">
        <v>890</v>
      </c>
      <c r="N7" s="4">
        <f ca="1">TODAY()</f>
        <v>45982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1761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2133</v>
      </c>
      <c r="E12" s="18">
        <v>550020201</v>
      </c>
      <c r="F12" t="s">
        <v>2134</v>
      </c>
      <c r="G12" t="s">
        <v>890</v>
      </c>
      <c r="N12" s="4">
        <f ca="1">TODAY()</f>
        <v>45982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1761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2133</v>
      </c>
      <c r="E15" s="18">
        <v>550020201</v>
      </c>
      <c r="F15" t="s">
        <v>2134</v>
      </c>
      <c r="G15" t="s">
        <v>890</v>
      </c>
      <c r="N15" s="4">
        <f ca="1">TODAY()</f>
        <v>45982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2133</v>
      </c>
      <c r="E19" s="51">
        <v>550020201</v>
      </c>
      <c r="F19" s="46" t="s">
        <v>2134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2191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1987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1995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1986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2143</v>
      </c>
      <c r="J24" t="s">
        <v>1979</v>
      </c>
      <c r="K24" t="s">
        <v>561</v>
      </c>
      <c r="L24" t="s">
        <v>2142</v>
      </c>
      <c r="M24" t="s">
        <v>1996</v>
      </c>
      <c r="N24" s="4">
        <v>45036</v>
      </c>
      <c r="O24" s="4">
        <v>46132</v>
      </c>
      <c r="P24" s="4">
        <v>45677</v>
      </c>
      <c r="Q24" s="4">
        <v>45829</v>
      </c>
      <c r="R24" t="s">
        <v>1994</v>
      </c>
      <c r="S24" t="s">
        <v>1988</v>
      </c>
      <c r="T24" t="s">
        <v>723</v>
      </c>
      <c r="V24" t="s">
        <v>724</v>
      </c>
      <c r="W24" t="s">
        <v>1993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1989</v>
      </c>
      <c r="AF24" t="s">
        <v>1990</v>
      </c>
      <c r="AG24" t="s">
        <v>1991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1997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1998</v>
      </c>
      <c r="I25" t="s">
        <v>1999</v>
      </c>
      <c r="J25" t="s">
        <v>561</v>
      </c>
      <c r="K25" t="s">
        <v>1983</v>
      </c>
      <c r="L25" t="s">
        <v>1984</v>
      </c>
      <c r="M25" t="s">
        <v>1985</v>
      </c>
      <c r="N25" s="4">
        <v>45432</v>
      </c>
      <c r="O25" s="4">
        <v>45767</v>
      </c>
      <c r="P25" s="4">
        <v>45708</v>
      </c>
      <c r="Q25" s="4">
        <v>45737</v>
      </c>
      <c r="R25" t="s">
        <v>2000</v>
      </c>
      <c r="W25" t="s">
        <v>7</v>
      </c>
      <c r="X25" t="s">
        <v>2002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2056</v>
      </c>
      <c r="C1" s="3" t="s">
        <v>2057</v>
      </c>
      <c r="D1" s="3" t="s">
        <v>2058</v>
      </c>
      <c r="E1" s="3" t="s">
        <v>2059</v>
      </c>
      <c r="F1" s="3" t="s">
        <v>2060</v>
      </c>
      <c r="G1" s="3" t="s">
        <v>2061</v>
      </c>
      <c r="H1" s="3" t="s">
        <v>2062</v>
      </c>
      <c r="I1" s="3" t="s">
        <v>2063</v>
      </c>
      <c r="J1" s="3" t="s">
        <v>2064</v>
      </c>
      <c r="K1" s="3" t="s">
        <v>2065</v>
      </c>
      <c r="L1" s="3" t="s">
        <v>2066</v>
      </c>
      <c r="M1" s="3" t="s">
        <v>2067</v>
      </c>
      <c r="N1" s="3" t="s">
        <v>2068</v>
      </c>
      <c r="O1" s="3" t="s">
        <v>2069</v>
      </c>
      <c r="P1" s="3" t="s">
        <v>2070</v>
      </c>
      <c r="Q1" s="3" t="s">
        <v>2071</v>
      </c>
      <c r="R1" s="3" t="s">
        <v>2072</v>
      </c>
      <c r="S1" s="3" t="s">
        <v>2073</v>
      </c>
      <c r="T1" s="3" t="s">
        <v>2074</v>
      </c>
      <c r="U1" s="3" t="s">
        <v>2075</v>
      </c>
      <c r="V1" s="3" t="s">
        <v>2076</v>
      </c>
      <c r="W1" s="3" t="s">
        <v>2077</v>
      </c>
      <c r="X1" s="3" t="s">
        <v>2078</v>
      </c>
      <c r="Y1" s="3" t="s">
        <v>2079</v>
      </c>
      <c r="Z1" s="3" t="s">
        <v>2080</v>
      </c>
      <c r="AA1" s="3" t="s">
        <v>2081</v>
      </c>
      <c r="AB1" s="3" t="s">
        <v>2082</v>
      </c>
      <c r="AC1" s="3" t="s">
        <v>2083</v>
      </c>
      <c r="AD1" s="3" t="s">
        <v>2084</v>
      </c>
      <c r="AE1" s="3" t="s">
        <v>2085</v>
      </c>
      <c r="AF1" s="3" t="s">
        <v>2086</v>
      </c>
      <c r="AG1" s="3" t="s">
        <v>2087</v>
      </c>
      <c r="AH1" s="3" t="s">
        <v>2088</v>
      </c>
      <c r="AI1" s="3" t="s">
        <v>2089</v>
      </c>
      <c r="AJ1" s="3" t="s">
        <v>2090</v>
      </c>
      <c r="AK1" s="3" t="s">
        <v>2091</v>
      </c>
      <c r="AL1" s="3" t="s">
        <v>2092</v>
      </c>
      <c r="AM1" s="3" t="s">
        <v>2093</v>
      </c>
      <c r="AN1" s="3" t="s">
        <v>2094</v>
      </c>
      <c r="AO1" s="3" t="s">
        <v>2095</v>
      </c>
      <c r="AP1" s="3" t="s">
        <v>2096</v>
      </c>
      <c r="AQ1" s="3" t="s">
        <v>2097</v>
      </c>
      <c r="AR1" s="3" t="s">
        <v>2098</v>
      </c>
      <c r="AS1" s="3" t="s">
        <v>2099</v>
      </c>
      <c r="AT1" s="3" t="s">
        <v>2100</v>
      </c>
      <c r="AU1" s="3" t="s">
        <v>2101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1968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1796</v>
      </c>
      <c r="L2" t="s">
        <v>1560</v>
      </c>
      <c r="M2" t="s">
        <v>884</v>
      </c>
      <c r="N2" t="s">
        <v>885</v>
      </c>
      <c r="O2" t="s">
        <v>886</v>
      </c>
      <c r="P2" t="s">
        <v>2366</v>
      </c>
      <c r="Q2" t="s">
        <v>2137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2367</v>
      </c>
      <c r="Q3" t="s">
        <v>2138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1560</v>
      </c>
      <c r="M4" t="s">
        <v>884</v>
      </c>
      <c r="N4" t="s">
        <v>1252</v>
      </c>
      <c r="O4" t="s">
        <v>886</v>
      </c>
      <c r="P4" t="s">
        <v>2368</v>
      </c>
      <c r="Q4" t="s">
        <v>2135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1790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1805</v>
      </c>
      <c r="G5" s="27">
        <v>45569</v>
      </c>
      <c r="K5" s="23" t="s">
        <v>1795</v>
      </c>
      <c r="L5" s="23" t="s">
        <v>1560</v>
      </c>
      <c r="M5" s="23" t="s">
        <v>1856</v>
      </c>
      <c r="N5" s="23" t="s">
        <v>885</v>
      </c>
      <c r="O5" s="23" t="s">
        <v>1797</v>
      </c>
      <c r="P5" s="23" t="s">
        <v>1798</v>
      </c>
      <c r="Q5" s="23" t="s">
        <v>786</v>
      </c>
      <c r="R5" s="23" t="b">
        <v>0</v>
      </c>
      <c r="S5" s="23" t="s">
        <v>1379</v>
      </c>
      <c r="T5" s="23" t="s">
        <v>1799</v>
      </c>
      <c r="U5" s="23">
        <v>6</v>
      </c>
      <c r="V5" s="23">
        <v>3</v>
      </c>
    </row>
    <row r="6" spans="1:22" s="23" customFormat="1" x14ac:dyDescent="0.3">
      <c r="A6" s="23" t="s">
        <v>1802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2025</v>
      </c>
      <c r="Q6" s="23" t="s">
        <v>2024</v>
      </c>
      <c r="R6" s="23" t="b">
        <v>1</v>
      </c>
      <c r="U6" s="23">
        <v>9</v>
      </c>
      <c r="V6" s="23">
        <v>1</v>
      </c>
    </row>
    <row r="7" spans="1:22" x14ac:dyDescent="0.3">
      <c r="A7" t="s">
        <v>2021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1796</v>
      </c>
      <c r="L7" t="s">
        <v>1560</v>
      </c>
      <c r="M7" t="s">
        <v>884</v>
      </c>
      <c r="N7" t="s">
        <v>885</v>
      </c>
      <c r="O7" t="s">
        <v>886</v>
      </c>
      <c r="P7" t="s">
        <v>2369</v>
      </c>
      <c r="Q7" t="s">
        <v>2139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2004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2008</v>
      </c>
      <c r="L8" t="s">
        <v>1560</v>
      </c>
      <c r="M8" t="s">
        <v>1856</v>
      </c>
      <c r="N8" t="s">
        <v>2011</v>
      </c>
      <c r="O8" t="s">
        <v>2012</v>
      </c>
      <c r="P8" t="s">
        <v>2136</v>
      </c>
      <c r="Q8" t="s">
        <v>2140</v>
      </c>
      <c r="R8" t="b">
        <v>1</v>
      </c>
      <c r="S8" t="s">
        <v>2013</v>
      </c>
      <c r="T8" t="s">
        <v>2014</v>
      </c>
      <c r="U8">
        <v>11</v>
      </c>
      <c r="V8">
        <v>1</v>
      </c>
    </row>
    <row r="9" spans="1:22" x14ac:dyDescent="0.3">
      <c r="A9" t="s">
        <v>2005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2009</v>
      </c>
      <c r="L9" t="s">
        <v>1560</v>
      </c>
      <c r="M9" t="s">
        <v>2017</v>
      </c>
      <c r="N9" t="s">
        <v>2018</v>
      </c>
      <c r="O9" t="s">
        <v>2019</v>
      </c>
      <c r="P9" t="s">
        <v>2020</v>
      </c>
      <c r="Q9" t="s">
        <v>834</v>
      </c>
      <c r="R9" t="b">
        <v>0</v>
      </c>
      <c r="S9" t="s">
        <v>2016</v>
      </c>
      <c r="T9" t="s">
        <v>2015</v>
      </c>
      <c r="U9">
        <v>12</v>
      </c>
      <c r="V9">
        <v>1</v>
      </c>
    </row>
    <row r="10" spans="1:22" x14ac:dyDescent="0.3">
      <c r="A10" t="s">
        <v>2383</v>
      </c>
      <c r="B10" s="37"/>
      <c r="E10" t="s">
        <v>490</v>
      </c>
      <c r="F10" t="s">
        <v>1805</v>
      </c>
      <c r="G10" s="4">
        <v>45569</v>
      </c>
      <c r="K10" t="s">
        <v>2384</v>
      </c>
      <c r="L10" t="s">
        <v>1560</v>
      </c>
      <c r="M10" t="s">
        <v>1856</v>
      </c>
      <c r="N10" t="s">
        <v>885</v>
      </c>
      <c r="O10" t="s">
        <v>1797</v>
      </c>
      <c r="P10" t="s">
        <v>1798</v>
      </c>
      <c r="Q10" t="s">
        <v>786</v>
      </c>
      <c r="R10" t="b">
        <v>0</v>
      </c>
      <c r="S10" t="s">
        <v>1379</v>
      </c>
      <c r="T10" t="s">
        <v>1799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1791</v>
      </c>
      <c r="B7" t="s">
        <v>1804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1792</v>
      </c>
      <c r="B8" t="s">
        <v>1800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1793</v>
      </c>
      <c r="B9" t="s">
        <v>1801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1794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2023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2022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2010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2275</v>
      </c>
      <c r="C1" s="3" t="s">
        <v>2277</v>
      </c>
      <c r="D1" s="3" t="s">
        <v>2276</v>
      </c>
      <c r="E1" s="3" t="s">
        <v>2274</v>
      </c>
    </row>
    <row r="2" spans="1:5" x14ac:dyDescent="0.3">
      <c r="A2" t="s">
        <v>1096</v>
      </c>
      <c r="B2" t="s">
        <v>1101</v>
      </c>
      <c r="C2" t="s">
        <v>1086</v>
      </c>
      <c r="D2" t="s">
        <v>2278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2279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2280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2281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2281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45982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2170</v>
      </c>
      <c r="B14" t="s">
        <v>791</v>
      </c>
      <c r="G14" s="4">
        <v>45744</v>
      </c>
      <c r="H14" t="s">
        <v>2167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2168</v>
      </c>
      <c r="AG14" t="s">
        <v>588</v>
      </c>
      <c r="AH14" t="s">
        <v>2169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2171</v>
      </c>
      <c r="B15" t="s">
        <v>791</v>
      </c>
      <c r="G15" s="4">
        <v>45744</v>
      </c>
      <c r="H15" t="s">
        <v>2172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2339</v>
      </c>
      <c r="B16" t="s">
        <v>791</v>
      </c>
      <c r="G16" s="4">
        <v>45744</v>
      </c>
      <c r="H16" t="s">
        <v>2340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2168</v>
      </c>
      <c r="AG16" t="s">
        <v>588</v>
      </c>
      <c r="AH16" t="s">
        <v>2169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2102</v>
      </c>
      <c r="C1" s="19" t="s">
        <v>2103</v>
      </c>
      <c r="D1" s="19" t="s">
        <v>2104</v>
      </c>
      <c r="E1" s="19" t="s">
        <v>2105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2106</v>
      </c>
      <c r="K1" s="19" t="s">
        <v>2107</v>
      </c>
      <c r="L1" s="19" t="s">
        <v>2108</v>
      </c>
      <c r="M1" s="19" t="s">
        <v>2109</v>
      </c>
      <c r="N1" s="19" t="s">
        <v>2110</v>
      </c>
      <c r="O1" s="19" t="s">
        <v>2111</v>
      </c>
      <c r="P1" s="19" t="s">
        <v>2112</v>
      </c>
      <c r="Q1" s="19" t="s">
        <v>2113</v>
      </c>
      <c r="R1" s="19" t="s">
        <v>2114</v>
      </c>
      <c r="S1" s="19" t="s">
        <v>2115</v>
      </c>
      <c r="T1" s="19" t="s">
        <v>2116</v>
      </c>
      <c r="U1" s="19" t="s">
        <v>2117</v>
      </c>
      <c r="V1" s="19" t="s">
        <v>2118</v>
      </c>
      <c r="W1" s="19" t="s">
        <v>2119</v>
      </c>
      <c r="X1" s="19" t="s">
        <v>2120</v>
      </c>
      <c r="Y1" s="19" t="s">
        <v>2121</v>
      </c>
      <c r="Z1" s="19" t="s">
        <v>2122</v>
      </c>
      <c r="AA1" s="19" t="s">
        <v>2123</v>
      </c>
      <c r="AB1" s="19" t="s">
        <v>2124</v>
      </c>
      <c r="AC1" s="19" t="s">
        <v>2125</v>
      </c>
      <c r="AD1" s="19" t="s">
        <v>2126</v>
      </c>
      <c r="AE1" s="19" t="s">
        <v>2127</v>
      </c>
      <c r="AF1" s="19" t="s">
        <v>2128</v>
      </c>
      <c r="AG1" s="19" t="s">
        <v>2129</v>
      </c>
      <c r="AH1" s="19" t="s">
        <v>2130</v>
      </c>
      <c r="AI1" s="19" t="s">
        <v>2131</v>
      </c>
      <c r="AJ1" s="19" t="s">
        <v>2132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1853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1854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2354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2354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2354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2354</v>
      </c>
      <c r="C11" t="s">
        <v>2135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2354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2355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1853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2210</v>
      </c>
      <c r="B20" t="s">
        <v>2224</v>
      </c>
      <c r="C20" t="s">
        <v>1204</v>
      </c>
      <c r="D20" t="s">
        <v>3</v>
      </c>
      <c r="E20" t="s">
        <v>686</v>
      </c>
    </row>
    <row r="21" spans="1:5" x14ac:dyDescent="0.3">
      <c r="A21" t="s">
        <v>2210</v>
      </c>
      <c r="B21" t="s">
        <v>2232</v>
      </c>
      <c r="C21" t="s">
        <v>2225</v>
      </c>
      <c r="D21" t="s">
        <v>588</v>
      </c>
    </row>
    <row r="22" spans="1:5" x14ac:dyDescent="0.3">
      <c r="A22" t="s">
        <v>2226</v>
      </c>
      <c r="B22" t="s">
        <v>2224</v>
      </c>
      <c r="C22" t="s">
        <v>2233</v>
      </c>
      <c r="D22" t="s">
        <v>588</v>
      </c>
    </row>
    <row r="23" spans="1:5" x14ac:dyDescent="0.3">
      <c r="A23" t="s">
        <v>2264</v>
      </c>
      <c r="B23" t="s">
        <v>2266</v>
      </c>
      <c r="C23" t="s">
        <v>1204</v>
      </c>
      <c r="D23" t="s">
        <v>3</v>
      </c>
      <c r="E23" t="s">
        <v>686</v>
      </c>
    </row>
    <row r="24" spans="1:5" x14ac:dyDescent="0.3">
      <c r="A24" t="s">
        <v>2264</v>
      </c>
      <c r="B24" t="s">
        <v>2267</v>
      </c>
      <c r="C24" t="s">
        <v>685</v>
      </c>
      <c r="D24" t="s">
        <v>588</v>
      </c>
    </row>
    <row r="25" spans="1:5" x14ac:dyDescent="0.3">
      <c r="A25" t="s">
        <v>2265</v>
      </c>
      <c r="B25" t="s">
        <v>2268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U39"/>
  <sheetViews>
    <sheetView topLeftCell="F1" workbookViewId="0">
      <pane ySplit="1" topLeftCell="A2" activePane="bottomLeft" state="frozen"/>
      <selection pane="bottomLeft" activeCell="U35" sqref="U35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3.44140625" customWidth="1"/>
    <col min="22" max="22" width="10.6640625" bestFit="1" customWidth="1"/>
    <col min="23" max="23" width="12.33203125" bestFit="1" customWidth="1"/>
    <col min="24" max="24" width="18.44140625" bestFit="1" customWidth="1"/>
    <col min="25" max="25" width="9.5546875" bestFit="1" customWidth="1"/>
    <col min="26" max="26" width="11.6640625" bestFit="1" customWidth="1"/>
    <col min="28" max="28" width="11.6640625" bestFit="1" customWidth="1"/>
  </cols>
  <sheetData>
    <row r="1" spans="1:21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2357</v>
      </c>
      <c r="G1" s="3" t="s">
        <v>1500</v>
      </c>
      <c r="H1" s="3" t="s">
        <v>2358</v>
      </c>
      <c r="I1" s="3" t="s">
        <v>2285</v>
      </c>
      <c r="J1" s="3" t="s">
        <v>2286</v>
      </c>
      <c r="K1" s="3" t="s">
        <v>2287</v>
      </c>
      <c r="L1" s="3" t="s">
        <v>2288</v>
      </c>
      <c r="M1" s="3" t="s">
        <v>2289</v>
      </c>
      <c r="N1" s="3" t="s">
        <v>2290</v>
      </c>
      <c r="O1" s="3" t="s">
        <v>2291</v>
      </c>
      <c r="P1" s="3" t="s">
        <v>2292</v>
      </c>
      <c r="Q1" s="3" t="s">
        <v>2359</v>
      </c>
      <c r="R1" s="3" t="s">
        <v>2360</v>
      </c>
      <c r="S1" s="3" t="s">
        <v>2361</v>
      </c>
      <c r="T1" s="3" t="s">
        <v>2362</v>
      </c>
      <c r="U1" s="3" t="s">
        <v>2398</v>
      </c>
    </row>
    <row r="2" spans="1:21" ht="28.8" x14ac:dyDescent="0.3">
      <c r="A2" t="s">
        <v>275</v>
      </c>
      <c r="C2">
        <v>4361431</v>
      </c>
      <c r="D2" t="s">
        <v>2343</v>
      </c>
      <c r="I2">
        <v>48</v>
      </c>
      <c r="J2">
        <v>53</v>
      </c>
      <c r="K2">
        <v>23.888000000000002</v>
      </c>
      <c r="L2" t="s">
        <v>1779</v>
      </c>
      <c r="M2">
        <v>123</v>
      </c>
      <c r="N2">
        <v>30</v>
      </c>
      <c r="O2">
        <v>14.875999999999999</v>
      </c>
      <c r="P2" t="s">
        <v>2294</v>
      </c>
      <c r="U2" s="14" t="s">
        <v>2399</v>
      </c>
    </row>
    <row r="3" spans="1:21" x14ac:dyDescent="0.3">
      <c r="A3" t="s">
        <v>327</v>
      </c>
      <c r="H3" t="s">
        <v>2380</v>
      </c>
    </row>
    <row r="4" spans="1:21" x14ac:dyDescent="0.3">
      <c r="A4" t="s">
        <v>280</v>
      </c>
      <c r="D4" t="s">
        <v>2379</v>
      </c>
    </row>
    <row r="5" spans="1:21" x14ac:dyDescent="0.3">
      <c r="A5" t="s">
        <v>278</v>
      </c>
      <c r="B5" t="s">
        <v>2381</v>
      </c>
    </row>
    <row r="6" spans="1:21" x14ac:dyDescent="0.3">
      <c r="A6" t="s">
        <v>281</v>
      </c>
      <c r="B6" t="s">
        <v>1650</v>
      </c>
    </row>
    <row r="7" spans="1:21" x14ac:dyDescent="0.3">
      <c r="A7" t="s">
        <v>1631</v>
      </c>
      <c r="B7" t="s">
        <v>2192</v>
      </c>
      <c r="D7" t="s">
        <v>1762</v>
      </c>
    </row>
    <row r="8" spans="1:21" x14ac:dyDescent="0.3">
      <c r="A8" t="s">
        <v>273</v>
      </c>
      <c r="B8" t="s">
        <v>1607</v>
      </c>
    </row>
    <row r="9" spans="1:21" x14ac:dyDescent="0.3">
      <c r="A9" t="s">
        <v>274</v>
      </c>
      <c r="B9" t="s">
        <v>1608</v>
      </c>
    </row>
    <row r="10" spans="1:21" x14ac:dyDescent="0.3">
      <c r="A10" t="s">
        <v>1487</v>
      </c>
      <c r="B10" t="s">
        <v>1609</v>
      </c>
      <c r="C10">
        <v>1821391</v>
      </c>
      <c r="D10" t="s">
        <v>2342</v>
      </c>
      <c r="E10" t="s">
        <v>1338</v>
      </c>
      <c r="I10">
        <v>49</v>
      </c>
      <c r="J10">
        <v>54</v>
      </c>
      <c r="K10">
        <v>37</v>
      </c>
      <c r="L10" t="s">
        <v>1779</v>
      </c>
      <c r="M10">
        <v>123</v>
      </c>
      <c r="N10" s="16" t="s">
        <v>2293</v>
      </c>
      <c r="O10">
        <v>47</v>
      </c>
      <c r="P10" t="s">
        <v>2294</v>
      </c>
    </row>
    <row r="11" spans="1:21" x14ac:dyDescent="0.3">
      <c r="A11" t="s">
        <v>396</v>
      </c>
      <c r="B11" t="s">
        <v>1650</v>
      </c>
    </row>
    <row r="12" spans="1:21" x14ac:dyDescent="0.3">
      <c r="A12" t="s">
        <v>1317</v>
      </c>
      <c r="G12" t="s">
        <v>2376</v>
      </c>
      <c r="I12">
        <v>49</v>
      </c>
      <c r="J12">
        <v>15</v>
      </c>
      <c r="K12">
        <v>21.26</v>
      </c>
      <c r="L12" t="s">
        <v>1779</v>
      </c>
      <c r="M12">
        <v>123</v>
      </c>
      <c r="N12" s="16">
        <v>10</v>
      </c>
      <c r="O12">
        <v>40.9</v>
      </c>
      <c r="P12" t="s">
        <v>2294</v>
      </c>
      <c r="Q12" t="s">
        <v>2377</v>
      </c>
      <c r="U12" t="s">
        <v>2403</v>
      </c>
    </row>
    <row r="13" spans="1:21" x14ac:dyDescent="0.3">
      <c r="A13" t="s">
        <v>1315</v>
      </c>
      <c r="B13" t="s">
        <v>1611</v>
      </c>
    </row>
    <row r="14" spans="1:21" x14ac:dyDescent="0.3">
      <c r="A14" t="s">
        <v>1318</v>
      </c>
      <c r="B14" t="s">
        <v>1613</v>
      </c>
    </row>
    <row r="15" spans="1:21" x14ac:dyDescent="0.3">
      <c r="A15" t="s">
        <v>1316</v>
      </c>
      <c r="B15" t="s">
        <v>1614</v>
      </c>
    </row>
    <row r="16" spans="1:21" x14ac:dyDescent="0.3">
      <c r="A16" t="s">
        <v>689</v>
      </c>
      <c r="B16" t="s">
        <v>1615</v>
      </c>
      <c r="C16">
        <v>1821391</v>
      </c>
      <c r="D16" t="s">
        <v>2365</v>
      </c>
      <c r="E16" t="s">
        <v>1747</v>
      </c>
      <c r="H16" t="s">
        <v>2364</v>
      </c>
      <c r="Q16" t="s">
        <v>2363</v>
      </c>
      <c r="U16" t="s">
        <v>2400</v>
      </c>
    </row>
    <row r="17" spans="1:21" x14ac:dyDescent="0.3">
      <c r="A17" t="s">
        <v>1319</v>
      </c>
      <c r="B17" t="s">
        <v>1612</v>
      </c>
      <c r="U17" t="s">
        <v>1612</v>
      </c>
    </row>
    <row r="18" spans="1:21" x14ac:dyDescent="0.3">
      <c r="A18" t="s">
        <v>1320</v>
      </c>
      <c r="B18" t="s">
        <v>1616</v>
      </c>
      <c r="U18" t="s">
        <v>1616</v>
      </c>
    </row>
    <row r="19" spans="1:21" x14ac:dyDescent="0.3">
      <c r="A19" t="s">
        <v>697</v>
      </c>
      <c r="B19" t="s">
        <v>1617</v>
      </c>
    </row>
    <row r="20" spans="1:21" x14ac:dyDescent="0.3">
      <c r="A20" t="s">
        <v>1321</v>
      </c>
      <c r="B20" t="s">
        <v>1618</v>
      </c>
    </row>
    <row r="21" spans="1:21" x14ac:dyDescent="0.3">
      <c r="A21" t="s">
        <v>1322</v>
      </c>
      <c r="B21" t="s">
        <v>843</v>
      </c>
      <c r="U21" t="s">
        <v>843</v>
      </c>
    </row>
    <row r="22" spans="1:21" x14ac:dyDescent="0.3">
      <c r="A22" t="s">
        <v>1323</v>
      </c>
      <c r="B22" t="s">
        <v>1619</v>
      </c>
      <c r="U22" t="s">
        <v>1619</v>
      </c>
    </row>
    <row r="23" spans="1:21" x14ac:dyDescent="0.3">
      <c r="A23" t="s">
        <v>1324</v>
      </c>
      <c r="B23" t="s">
        <v>1620</v>
      </c>
    </row>
    <row r="24" spans="1:21" x14ac:dyDescent="0.3">
      <c r="A24" t="s">
        <v>1325</v>
      </c>
      <c r="B24" t="s">
        <v>1621</v>
      </c>
    </row>
    <row r="25" spans="1:21" x14ac:dyDescent="0.3">
      <c r="A25" t="s">
        <v>1326</v>
      </c>
      <c r="B25" t="s">
        <v>1622</v>
      </c>
      <c r="D25" t="s">
        <v>2295</v>
      </c>
    </row>
    <row r="26" spans="1:21" x14ac:dyDescent="0.3">
      <c r="A26" t="s">
        <v>1334</v>
      </c>
      <c r="E26" t="s">
        <v>1760</v>
      </c>
      <c r="F26" t="s">
        <v>2372</v>
      </c>
      <c r="H26" t="s">
        <v>2373</v>
      </c>
      <c r="U26" t="s">
        <v>2401</v>
      </c>
    </row>
    <row r="27" spans="1:21" x14ac:dyDescent="0.3">
      <c r="A27" t="s">
        <v>1335</v>
      </c>
      <c r="I27">
        <v>49</v>
      </c>
      <c r="J27">
        <v>15</v>
      </c>
      <c r="K27">
        <v>51.6</v>
      </c>
      <c r="L27" t="s">
        <v>1779</v>
      </c>
      <c r="M27">
        <v>123</v>
      </c>
      <c r="N27">
        <v>10</v>
      </c>
      <c r="O27">
        <v>22.4</v>
      </c>
      <c r="P27" t="s">
        <v>2294</v>
      </c>
    </row>
    <row r="28" spans="1:21" x14ac:dyDescent="0.3">
      <c r="A28" t="s">
        <v>1336</v>
      </c>
      <c r="H28" t="s">
        <v>2353</v>
      </c>
    </row>
    <row r="29" spans="1:21" x14ac:dyDescent="0.3">
      <c r="A29" t="s">
        <v>1337</v>
      </c>
      <c r="F29" t="s">
        <v>2374</v>
      </c>
    </row>
    <row r="30" spans="1:21" x14ac:dyDescent="0.3">
      <c r="A30" t="s">
        <v>1486</v>
      </c>
      <c r="B30" t="s">
        <v>2159</v>
      </c>
      <c r="C30">
        <v>90054549</v>
      </c>
      <c r="D30" t="s">
        <v>1488</v>
      </c>
      <c r="E30" t="s">
        <v>1561</v>
      </c>
    </row>
    <row r="31" spans="1:21" ht="100.8" x14ac:dyDescent="0.3">
      <c r="A31" s="52" t="s">
        <v>1501</v>
      </c>
      <c r="G31" s="14" t="s">
        <v>2145</v>
      </c>
      <c r="H31" s="14"/>
    </row>
    <row r="32" spans="1:21" x14ac:dyDescent="0.3">
      <c r="A32" s="52" t="s">
        <v>2170</v>
      </c>
      <c r="B32" s="14"/>
      <c r="E32" t="s">
        <v>2370</v>
      </c>
    </row>
    <row r="33" spans="1:21" ht="14.4" customHeight="1" x14ac:dyDescent="0.3">
      <c r="A33" s="52" t="s">
        <v>2173</v>
      </c>
      <c r="B33" s="14" t="s">
        <v>2174</v>
      </c>
      <c r="F33" t="s">
        <v>2371</v>
      </c>
      <c r="U33" s="14" t="s">
        <v>2174</v>
      </c>
    </row>
    <row r="34" spans="1:21" x14ac:dyDescent="0.3">
      <c r="A34" s="52" t="s">
        <v>2183</v>
      </c>
      <c r="B34" t="s">
        <v>2182</v>
      </c>
    </row>
    <row r="35" spans="1:21" x14ac:dyDescent="0.3">
      <c r="A35" s="52" t="s">
        <v>2211</v>
      </c>
      <c r="B35" t="s">
        <v>2227</v>
      </c>
      <c r="C35">
        <v>90172682</v>
      </c>
      <c r="D35" t="s">
        <v>2431</v>
      </c>
      <c r="E35" t="s">
        <v>2228</v>
      </c>
      <c r="I35">
        <v>49</v>
      </c>
      <c r="J35">
        <v>16</v>
      </c>
      <c r="K35">
        <v>19.010000000000002</v>
      </c>
      <c r="L35" t="s">
        <v>1779</v>
      </c>
      <c r="M35">
        <v>123</v>
      </c>
      <c r="N35">
        <v>8</v>
      </c>
      <c r="O35">
        <v>8.3040000000000003</v>
      </c>
      <c r="P35" t="s">
        <v>2294</v>
      </c>
      <c r="U35" t="s">
        <v>2432</v>
      </c>
    </row>
    <row r="36" spans="1:21" x14ac:dyDescent="0.3">
      <c r="A36" s="52" t="s">
        <v>2212</v>
      </c>
      <c r="B36" t="s">
        <v>2229</v>
      </c>
      <c r="U36" t="s">
        <v>2229</v>
      </c>
    </row>
    <row r="37" spans="1:21" x14ac:dyDescent="0.3">
      <c r="A37" s="52" t="s">
        <v>2341</v>
      </c>
      <c r="B37" s="14"/>
      <c r="E37" t="s">
        <v>2375</v>
      </c>
      <c r="U37" t="s">
        <v>2402</v>
      </c>
    </row>
    <row r="38" spans="1:21" ht="28.8" x14ac:dyDescent="0.3">
      <c r="A38" s="52" t="s">
        <v>2344</v>
      </c>
      <c r="B38" t="s">
        <v>2227</v>
      </c>
    </row>
    <row r="39" spans="1:21" x14ac:dyDescent="0.3">
      <c r="A39" s="52" t="s">
        <v>2393</v>
      </c>
      <c r="B39" t="s">
        <v>2394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3320312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0" s="3" customFormat="1" x14ac:dyDescent="0.3">
      <c r="A1" s="3" t="s">
        <v>104</v>
      </c>
      <c r="B1" s="3" t="s">
        <v>1599</v>
      </c>
      <c r="C1" s="3" t="s">
        <v>1600</v>
      </c>
      <c r="D1" s="3" t="s">
        <v>256</v>
      </c>
      <c r="E1" s="3" t="s">
        <v>1562</v>
      </c>
      <c r="F1" s="3" t="s">
        <v>1563</v>
      </c>
      <c r="G1" s="3" t="s">
        <v>1564</v>
      </c>
      <c r="H1" s="3" t="s">
        <v>1565</v>
      </c>
      <c r="I1" s="3" t="s">
        <v>2269</v>
      </c>
      <c r="J1" s="3" t="s">
        <v>1566</v>
      </c>
      <c r="K1" s="3" t="s">
        <v>1567</v>
      </c>
      <c r="L1" s="3" t="s">
        <v>1569</v>
      </c>
      <c r="M1" s="3" t="s">
        <v>1570</v>
      </c>
      <c r="N1" s="3" t="s">
        <v>1571</v>
      </c>
      <c r="O1" s="3" t="s">
        <v>1568</v>
      </c>
      <c r="P1" s="3" t="s">
        <v>1572</v>
      </c>
      <c r="Q1" s="3" t="s">
        <v>1573</v>
      </c>
      <c r="R1" s="3" t="s">
        <v>1574</v>
      </c>
      <c r="S1" s="3" t="s">
        <v>1575</v>
      </c>
      <c r="T1" s="3" t="s">
        <v>1576</v>
      </c>
      <c r="U1" s="3" t="s">
        <v>1577</v>
      </c>
      <c r="V1" s="3" t="s">
        <v>1578</v>
      </c>
      <c r="W1" s="3" t="s">
        <v>1579</v>
      </c>
      <c r="X1" s="3" t="s">
        <v>1580</v>
      </c>
      <c r="Y1" s="3" t="s">
        <v>1581</v>
      </c>
      <c r="Z1" s="3" t="s">
        <v>1582</v>
      </c>
      <c r="AA1" s="3" t="s">
        <v>1583</v>
      </c>
      <c r="AB1" s="3" t="s">
        <v>1584</v>
      </c>
      <c r="AC1" s="3" t="s">
        <v>1585</v>
      </c>
      <c r="AD1" s="3" t="s">
        <v>1586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2151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1601</v>
      </c>
      <c r="C4" t="s">
        <v>1602</v>
      </c>
      <c r="E4" t="s">
        <v>1603</v>
      </c>
      <c r="F4" t="s">
        <v>393</v>
      </c>
      <c r="G4" t="s">
        <v>1604</v>
      </c>
      <c r="H4" t="s">
        <v>1605</v>
      </c>
      <c r="J4" t="s">
        <v>394</v>
      </c>
      <c r="K4" t="s">
        <v>1587</v>
      </c>
      <c r="L4">
        <v>1</v>
      </c>
      <c r="M4">
        <v>3</v>
      </c>
      <c r="N4" t="s">
        <v>1606</v>
      </c>
      <c r="O4" t="s">
        <v>190</v>
      </c>
      <c r="P4" t="s">
        <v>1588</v>
      </c>
      <c r="Q4" t="s">
        <v>1589</v>
      </c>
      <c r="R4" t="s">
        <v>264</v>
      </c>
      <c r="S4" t="s">
        <v>266</v>
      </c>
      <c r="T4" t="s">
        <v>1590</v>
      </c>
      <c r="U4" t="s">
        <v>395</v>
      </c>
      <c r="V4" t="s">
        <v>1271</v>
      </c>
      <c r="W4" t="s">
        <v>2382</v>
      </c>
      <c r="X4" t="s">
        <v>721</v>
      </c>
      <c r="Z4" s="30">
        <v>65.898600000000002</v>
      </c>
      <c r="AA4" t="b">
        <v>1</v>
      </c>
      <c r="AB4" s="32" t="s">
        <v>1630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2185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2190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1591</v>
      </c>
      <c r="C1" s="3" t="s">
        <v>1592</v>
      </c>
      <c r="D1" s="3" t="s">
        <v>1597</v>
      </c>
    </row>
    <row r="2" spans="1:4" x14ac:dyDescent="0.3">
      <c r="A2" t="s">
        <v>1595</v>
      </c>
      <c r="B2" t="s">
        <v>1629</v>
      </c>
      <c r="C2" t="s">
        <v>1628</v>
      </c>
    </row>
    <row r="3" spans="1:4" x14ac:dyDescent="0.3">
      <c r="A3" t="s">
        <v>1595</v>
      </c>
      <c r="B3" t="s">
        <v>1593</v>
      </c>
      <c r="C3" t="s">
        <v>1594</v>
      </c>
    </row>
    <row r="4" spans="1:4" x14ac:dyDescent="0.3">
      <c r="A4" t="s">
        <v>1595</v>
      </c>
      <c r="B4" t="s">
        <v>1596</v>
      </c>
      <c r="C4" t="s">
        <v>7</v>
      </c>
      <c r="D4" t="s">
        <v>1598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abSelected="1" topLeftCell="H1" workbookViewId="0">
      <selection activeCell="L16" sqref="L16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33203125" bestFit="1" customWidth="1"/>
    <col min="13" max="13" width="32" bestFit="1" customWidth="1"/>
    <col min="14" max="14" width="25.5546875" bestFit="1" customWidth="1"/>
    <col min="15" max="15" width="26.664062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2201</v>
      </c>
      <c r="K1" s="3" t="s">
        <v>2202</v>
      </c>
      <c r="L1" s="3" t="s">
        <v>2203</v>
      </c>
      <c r="M1" s="3" t="s">
        <v>2204</v>
      </c>
      <c r="N1" s="3" t="s">
        <v>2397</v>
      </c>
      <c r="O1" s="3" t="s">
        <v>2309</v>
      </c>
      <c r="P1" s="3" t="s">
        <v>2310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2205</v>
      </c>
      <c r="E2" t="s">
        <v>2230</v>
      </c>
      <c r="F2" t="s">
        <v>890</v>
      </c>
      <c r="G2" t="s">
        <v>2206</v>
      </c>
      <c r="H2" t="s">
        <v>2207</v>
      </c>
      <c r="I2" t="s">
        <v>2208</v>
      </c>
      <c r="J2" t="s">
        <v>2209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2216</v>
      </c>
      <c r="E3" t="s">
        <v>2231</v>
      </c>
      <c r="F3" t="s">
        <v>2217</v>
      </c>
      <c r="G3" t="s">
        <v>2215</v>
      </c>
      <c r="H3" t="s">
        <v>2218</v>
      </c>
      <c r="I3" t="s">
        <v>2219</v>
      </c>
      <c r="J3" t="s">
        <v>2220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2213</v>
      </c>
      <c r="I4" t="s">
        <v>2221</v>
      </c>
      <c r="K4">
        <v>0</v>
      </c>
      <c r="L4">
        <v>0</v>
      </c>
      <c r="M4">
        <v>34</v>
      </c>
      <c r="N4">
        <v>3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2214</v>
      </c>
      <c r="I5" t="s">
        <v>2222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2330</v>
      </c>
      <c r="B6" t="s">
        <v>490</v>
      </c>
      <c r="G6" t="s">
        <v>2223</v>
      </c>
      <c r="I6" t="s">
        <v>1787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2234</v>
      </c>
      <c r="B7" t="s">
        <v>490</v>
      </c>
      <c r="G7" t="s">
        <v>2236</v>
      </c>
      <c r="I7" t="s">
        <v>2238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2235</v>
      </c>
      <c r="B8" t="s">
        <v>490</v>
      </c>
      <c r="G8" t="s">
        <v>2237</v>
      </c>
      <c r="I8" t="s">
        <v>2239</v>
      </c>
      <c r="K8">
        <v>0</v>
      </c>
      <c r="L8">
        <v>0</v>
      </c>
      <c r="M8">
        <v>38</v>
      </c>
      <c r="N8">
        <v>0</v>
      </c>
      <c r="O8">
        <v>0</v>
      </c>
      <c r="P8">
        <v>0</v>
      </c>
    </row>
    <row r="9" spans="1:16" x14ac:dyDescent="0.3">
      <c r="A9" t="s">
        <v>2311</v>
      </c>
      <c r="B9" t="s">
        <v>490</v>
      </c>
      <c r="G9" t="s">
        <v>2332</v>
      </c>
      <c r="I9" t="s">
        <v>2221</v>
      </c>
      <c r="K9">
        <v>0</v>
      </c>
      <c r="L9">
        <v>0</v>
      </c>
      <c r="M9">
        <v>34</v>
      </c>
      <c r="N9">
        <v>3</v>
      </c>
      <c r="O9">
        <v>5</v>
      </c>
      <c r="P9">
        <v>2</v>
      </c>
    </row>
    <row r="10" spans="1:16" x14ac:dyDescent="0.3">
      <c r="A10" t="s">
        <v>2312</v>
      </c>
      <c r="B10" t="s">
        <v>490</v>
      </c>
      <c r="G10" t="s">
        <v>2313</v>
      </c>
      <c r="I10" t="s">
        <v>2238</v>
      </c>
      <c r="K10">
        <v>0</v>
      </c>
      <c r="L10">
        <v>0</v>
      </c>
      <c r="M10">
        <v>35</v>
      </c>
      <c r="N10">
        <v>1</v>
      </c>
      <c r="O10">
        <v>7</v>
      </c>
      <c r="P10">
        <v>1</v>
      </c>
    </row>
    <row r="11" spans="1:16" x14ac:dyDescent="0.3">
      <c r="A11" t="s">
        <v>2331</v>
      </c>
      <c r="B11" t="s">
        <v>490</v>
      </c>
      <c r="G11" t="s">
        <v>2333</v>
      </c>
      <c r="I11" t="s">
        <v>2239</v>
      </c>
      <c r="K11">
        <v>0</v>
      </c>
      <c r="L11">
        <v>0</v>
      </c>
      <c r="M11">
        <v>35</v>
      </c>
      <c r="N11">
        <v>1</v>
      </c>
      <c r="O11">
        <v>7</v>
      </c>
      <c r="P11">
        <v>1</v>
      </c>
    </row>
    <row r="12" spans="1:16" x14ac:dyDescent="0.3">
      <c r="A12" t="s">
        <v>2395</v>
      </c>
      <c r="B12" t="s">
        <v>490</v>
      </c>
      <c r="G12" t="s">
        <v>2396</v>
      </c>
      <c r="I12" t="s">
        <v>1787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2156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2334</v>
      </c>
      <c r="C1" s="3" t="s">
        <v>1166</v>
      </c>
      <c r="D1" s="3" t="s">
        <v>1167</v>
      </c>
      <c r="E1" s="3" t="s">
        <v>1168</v>
      </c>
      <c r="F1" s="3" t="s">
        <v>2336</v>
      </c>
      <c r="G1" s="3" t="s">
        <v>1169</v>
      </c>
      <c r="H1" s="3" t="s">
        <v>1170</v>
      </c>
      <c r="I1" s="3" t="s">
        <v>1171</v>
      </c>
      <c r="J1" s="3" t="s">
        <v>2308</v>
      </c>
      <c r="K1" s="3" t="s">
        <v>2314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2424</v>
      </c>
      <c r="E2" t="s">
        <v>1213</v>
      </c>
      <c r="F2" s="4">
        <v>45257</v>
      </c>
      <c r="H2" t="s">
        <v>1192</v>
      </c>
      <c r="I2" t="s">
        <v>2158</v>
      </c>
      <c r="J2" t="s">
        <v>2418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2425</v>
      </c>
      <c r="E3" t="s">
        <v>1191</v>
      </c>
      <c r="F3" s="4">
        <v>45264</v>
      </c>
      <c r="H3" t="s">
        <v>1193</v>
      </c>
      <c r="I3" t="s">
        <v>1194</v>
      </c>
      <c r="J3" t="s">
        <v>2419</v>
      </c>
      <c r="K3" t="s">
        <v>2157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2420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2426</v>
      </c>
      <c r="E5" t="s">
        <v>1213</v>
      </c>
      <c r="F5" s="4">
        <v>44962</v>
      </c>
      <c r="H5" t="s">
        <v>1279</v>
      </c>
      <c r="I5" t="s">
        <v>2225</v>
      </c>
      <c r="J5" t="s">
        <v>2421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2296</v>
      </c>
      <c r="B6">
        <v>3</v>
      </c>
      <c r="C6" t="s">
        <v>2298</v>
      </c>
      <c r="D6" t="s">
        <v>2301</v>
      </c>
      <c r="E6" t="s">
        <v>1213</v>
      </c>
      <c r="F6" s="4">
        <v>45623</v>
      </c>
      <c r="H6" t="s">
        <v>2304</v>
      </c>
      <c r="I6" t="s">
        <v>2337</v>
      </c>
      <c r="J6" t="s">
        <v>2422</v>
      </c>
      <c r="K6" t="s">
        <v>2338</v>
      </c>
      <c r="L6" t="s">
        <v>2335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2296</v>
      </c>
      <c r="B7">
        <v>3</v>
      </c>
      <c r="C7" t="s">
        <v>2299</v>
      </c>
      <c r="D7" t="s">
        <v>2302</v>
      </c>
      <c r="E7" t="s">
        <v>495</v>
      </c>
      <c r="F7" s="4">
        <v>45630</v>
      </c>
      <c r="G7" s="4">
        <v>45760</v>
      </c>
      <c r="H7" t="s">
        <v>2305</v>
      </c>
      <c r="I7" t="s">
        <v>2307</v>
      </c>
      <c r="J7" t="s">
        <v>2423</v>
      </c>
      <c r="K7" t="s">
        <v>2427</v>
      </c>
      <c r="L7" s="14" t="s">
        <v>2315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2297</v>
      </c>
      <c r="B8">
        <v>1</v>
      </c>
      <c r="C8" t="s">
        <v>2300</v>
      </c>
      <c r="D8" t="s">
        <v>2303</v>
      </c>
      <c r="E8" t="s">
        <v>1213</v>
      </c>
      <c r="F8" s="4">
        <v>45631</v>
      </c>
      <c r="H8" t="s">
        <v>2306</v>
      </c>
      <c r="I8" t="s">
        <v>2428</v>
      </c>
      <c r="J8" t="s">
        <v>2429</v>
      </c>
      <c r="K8" t="s">
        <v>2430</v>
      </c>
      <c r="L8" t="s">
        <v>2316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2317</v>
      </c>
      <c r="B4" t="s">
        <v>2318</v>
      </c>
      <c r="C4" s="4">
        <v>45300</v>
      </c>
      <c r="D4" t="s">
        <v>2321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2317</v>
      </c>
      <c r="B5" t="s">
        <v>2319</v>
      </c>
      <c r="C5" s="4">
        <v>45544</v>
      </c>
      <c r="D5" t="s">
        <v>2322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2317</v>
      </c>
      <c r="B6" t="s">
        <v>2320</v>
      </c>
      <c r="C6" s="4">
        <v>45576</v>
      </c>
      <c r="D6" t="s">
        <v>2323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2317</v>
      </c>
      <c r="B7" t="s">
        <v>1379</v>
      </c>
      <c r="C7" s="4">
        <v>45659</v>
      </c>
      <c r="D7" t="s">
        <v>2324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2317</v>
      </c>
      <c r="B8" t="s">
        <v>2325</v>
      </c>
      <c r="C8" s="4">
        <v>45607</v>
      </c>
      <c r="D8" t="s">
        <v>2326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2327</v>
      </c>
      <c r="B9" t="s">
        <v>2328</v>
      </c>
      <c r="C9" s="4">
        <v>45638</v>
      </c>
      <c r="D9" t="s">
        <v>2329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1649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1638</v>
      </c>
      <c r="D2" s="22" t="s">
        <v>1648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1639</v>
      </c>
      <c r="D3" s="22" t="s">
        <v>1648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1640</v>
      </c>
      <c r="D4" s="22" t="s">
        <v>1648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1641</v>
      </c>
      <c r="D5" t="s">
        <v>1648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1641</v>
      </c>
      <c r="D6" t="s">
        <v>1648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1642</v>
      </c>
      <c r="D7" t="s">
        <v>1648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1632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1633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1643</v>
      </c>
      <c r="D11" t="s">
        <v>1648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1644</v>
      </c>
      <c r="D12" t="s">
        <v>1648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1645</v>
      </c>
      <c r="D13" t="s">
        <v>1648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1646</v>
      </c>
      <c r="D14" s="22" t="s">
        <v>1648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1647</v>
      </c>
      <c r="D15" s="22" t="s">
        <v>1648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1646</v>
      </c>
      <c r="D16" s="22" t="s">
        <v>1648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1634</v>
      </c>
    </row>
    <row r="18" spans="1:10" x14ac:dyDescent="0.3">
      <c r="A18" t="s">
        <v>1497</v>
      </c>
      <c r="B18" t="s">
        <v>1482</v>
      </c>
      <c r="C18" t="s">
        <v>1635</v>
      </c>
    </row>
    <row r="19" spans="1:10" x14ac:dyDescent="0.3">
      <c r="A19" t="s">
        <v>1498</v>
      </c>
      <c r="B19" t="s">
        <v>1483</v>
      </c>
      <c r="C19" t="s">
        <v>1636</v>
      </c>
      <c r="J19" s="11"/>
    </row>
    <row r="20" spans="1:10" x14ac:dyDescent="0.3">
      <c r="A20" s="22" t="s">
        <v>1522</v>
      </c>
      <c r="B20" s="22" t="s">
        <v>1482</v>
      </c>
      <c r="C20" s="22" t="s">
        <v>1634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1634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1637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1634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1637</v>
      </c>
    </row>
    <row r="26" spans="1:10" x14ac:dyDescent="0.3">
      <c r="A26" s="22" t="s">
        <v>1526</v>
      </c>
      <c r="B26" s="22" t="s">
        <v>1482</v>
      </c>
      <c r="C26" s="22" t="s">
        <v>1634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1637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1637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1634</v>
      </c>
    </row>
    <row r="30" spans="1:10" x14ac:dyDescent="0.3">
      <c r="A30" t="s">
        <v>1529</v>
      </c>
      <c r="B30" t="s">
        <v>1482</v>
      </c>
      <c r="C30" t="s">
        <v>1635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2177</v>
      </c>
      <c r="B32" s="22" t="s">
        <v>1482</v>
      </c>
      <c r="C32" s="22" t="s">
        <v>2175</v>
      </c>
      <c r="D32" s="22"/>
      <c r="E32" s="22"/>
      <c r="F32" s="22"/>
    </row>
    <row r="33" spans="1:6" x14ac:dyDescent="0.3">
      <c r="A33" s="22" t="s">
        <v>2177</v>
      </c>
      <c r="B33" s="22" t="s">
        <v>1482</v>
      </c>
      <c r="C33" s="22" t="s">
        <v>2176</v>
      </c>
      <c r="D33" s="22"/>
      <c r="E33" s="22"/>
      <c r="F33" s="22"/>
    </row>
    <row r="34" spans="1:6" x14ac:dyDescent="0.3">
      <c r="A34" s="22" t="s">
        <v>2177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2240</v>
      </c>
      <c r="B15">
        <v>65</v>
      </c>
      <c r="C15">
        <v>5</v>
      </c>
    </row>
    <row r="16" spans="1:3" x14ac:dyDescent="0.3">
      <c r="A16" t="s">
        <v>2241</v>
      </c>
      <c r="B16">
        <v>70</v>
      </c>
      <c r="C16">
        <v>1</v>
      </c>
    </row>
    <row r="17" spans="1:3" x14ac:dyDescent="0.3">
      <c r="A17" t="s">
        <v>2345</v>
      </c>
      <c r="B17">
        <v>71</v>
      </c>
      <c r="C17">
        <v>3</v>
      </c>
    </row>
    <row r="18" spans="1:3" x14ac:dyDescent="0.3">
      <c r="A18" t="s">
        <v>2390</v>
      </c>
      <c r="B18">
        <v>71</v>
      </c>
      <c r="C18">
        <v>1</v>
      </c>
    </row>
    <row r="19" spans="1:3" x14ac:dyDescent="0.3">
      <c r="A19" t="s">
        <v>2391</v>
      </c>
    </row>
    <row r="20" spans="1:3" x14ac:dyDescent="0.3">
      <c r="A20" t="s">
        <v>2392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2" activePane="bottomLeft" state="frozen"/>
      <selection pane="bottomLeft" activeCell="A11" sqref="A11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5" bestFit="1" customWidth="1"/>
    <col min="4" max="4" width="17.6640625" bestFit="1" customWidth="1"/>
    <col min="5" max="7" width="19.33203125" customWidth="1"/>
    <col min="8" max="9" width="19.33203125" style="13" customWidth="1"/>
    <col min="10" max="11" width="19.33203125" customWidth="1"/>
    <col min="12" max="12" width="19.33203125" style="13" customWidth="1"/>
    <col min="13" max="14" width="19.33203125" customWidth="1"/>
    <col min="15" max="15" width="19.33203125" style="13" bestFit="1" customWidth="1"/>
    <col min="16" max="16" width="19.33203125" customWidth="1"/>
    <col min="17" max="17" width="20.33203125" style="13" bestFit="1" customWidth="1"/>
    <col min="18" max="19" width="19.33203125" customWidth="1"/>
    <col min="20" max="20" width="26.5546875" bestFit="1" customWidth="1"/>
    <col min="21" max="31" width="19.33203125" customWidth="1"/>
    <col min="32" max="32" width="27.5546875" bestFit="1" customWidth="1"/>
    <col min="33" max="35" width="19.33203125" customWidth="1"/>
    <col min="36" max="36" width="32.6640625" bestFit="1" customWidth="1"/>
    <col min="37" max="38" width="19.33203125" customWidth="1"/>
    <col min="39" max="39" width="29.44140625" bestFit="1" customWidth="1"/>
    <col min="40" max="41" width="19.33203125" customWidth="1"/>
    <col min="42" max="42" width="28.44140625" bestFit="1" customWidth="1"/>
    <col min="43" max="43" width="27.44140625" bestFit="1" customWidth="1"/>
    <col min="44" max="44" width="19.33203125" customWidth="1"/>
    <col min="45" max="45" width="32.33203125" bestFit="1" customWidth="1"/>
    <col min="46" max="46" width="19.33203125" customWidth="1"/>
    <col min="47" max="47" width="23.33203125" bestFit="1" customWidth="1"/>
    <col min="48" max="48" width="84.44140625" bestFit="1" customWidth="1"/>
    <col min="49" max="49" width="19.44140625" style="13" bestFit="1" customWidth="1"/>
    <col min="50" max="50" width="36.33203125" bestFit="1" customWidth="1"/>
    <col min="51" max="51" width="21.5546875" bestFit="1" customWidth="1"/>
    <col min="53" max="53" width="15.3320312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1900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1906</v>
      </c>
      <c r="AQ1" s="3" t="s">
        <v>1907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V2" t="s">
        <v>746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1879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V7" t="s">
        <v>1880</v>
      </c>
    </row>
    <row r="8" spans="1:53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V8" t="s">
        <v>1881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1884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1882</v>
      </c>
      <c r="AG10" t="s">
        <v>1883</v>
      </c>
      <c r="AX10" t="s">
        <v>1885</v>
      </c>
    </row>
    <row r="11" spans="1:53" s="23" customFormat="1" x14ac:dyDescent="0.3">
      <c r="A11" s="23" t="s">
        <v>1875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1886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1887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1888</v>
      </c>
      <c r="AA17" t="s">
        <v>1889</v>
      </c>
      <c r="AV17" t="s">
        <v>1890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1891</v>
      </c>
      <c r="Q18" s="13">
        <v>36778</v>
      </c>
      <c r="R18" t="s">
        <v>1892</v>
      </c>
      <c r="W18" s="9" t="s">
        <v>502</v>
      </c>
      <c r="X18" t="s">
        <v>1893</v>
      </c>
      <c r="AA18" t="s">
        <v>503</v>
      </c>
      <c r="AO18" s="4"/>
      <c r="AP18" s="4"/>
      <c r="AQ18" s="4"/>
      <c r="AS18" t="s">
        <v>1894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1895</v>
      </c>
      <c r="AF19" t="s">
        <v>1896</v>
      </c>
      <c r="AU19" t="s">
        <v>1897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1858</v>
      </c>
      <c r="C20" t="s">
        <v>495</v>
      </c>
      <c r="AV20" t="s">
        <v>1898</v>
      </c>
    </row>
    <row r="21" spans="1:52" s="23" customFormat="1" x14ac:dyDescent="0.3">
      <c r="A21" s="23" t="s">
        <v>1873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1899</v>
      </c>
      <c r="AW21" s="36"/>
    </row>
    <row r="22" spans="1:52" s="23" customFormat="1" x14ac:dyDescent="0.3">
      <c r="A22" s="23" t="s">
        <v>1234</v>
      </c>
      <c r="B22" s="23" t="s">
        <v>455</v>
      </c>
      <c r="C22" s="23" t="s">
        <v>495</v>
      </c>
      <c r="F22" s="23" t="s">
        <v>1232</v>
      </c>
      <c r="H22" s="36"/>
      <c r="I22" s="36"/>
      <c r="L22" s="36"/>
      <c r="O22" s="36"/>
      <c r="Q22" s="36"/>
      <c r="U22" s="23" t="s">
        <v>66</v>
      </c>
      <c r="AT22" s="23" t="s">
        <v>1233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V23" t="s">
        <v>747</v>
      </c>
    </row>
    <row r="24" spans="1:52" x14ac:dyDescent="0.3">
      <c r="A24" t="str">
        <f>CONCATENATE("Acquisition File - ",B24)</f>
        <v>Acquisition File - Agricultural Land Commission (ALC)</v>
      </c>
      <c r="B24" t="s">
        <v>1859</v>
      </c>
      <c r="C24" t="s">
        <v>490</v>
      </c>
      <c r="D24" t="s">
        <v>1901</v>
      </c>
      <c r="AV24" t="s">
        <v>1902</v>
      </c>
    </row>
    <row r="25" spans="1:52" x14ac:dyDescent="0.3">
      <c r="A25" t="str">
        <f>CONCATENATE("Acquisition File - ",B25)</f>
        <v>Acquisition File - Form 5 - Approval of expropriation</v>
      </c>
      <c r="B25" t="s">
        <v>1860</v>
      </c>
      <c r="C25" t="s">
        <v>491</v>
      </c>
      <c r="AV25" t="s">
        <v>1903</v>
      </c>
    </row>
    <row r="26" spans="1:52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V26" t="s">
        <v>1904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1861</v>
      </c>
      <c r="C27" t="s">
        <v>493</v>
      </c>
      <c r="AV27" t="s">
        <v>1905</v>
      </c>
    </row>
    <row r="28" spans="1:52" x14ac:dyDescent="0.3">
      <c r="A28" t="str">
        <f t="shared" si="3"/>
        <v>Acquisition File - Land Act Tenure/Reserves</v>
      </c>
      <c r="B28" t="s">
        <v>1862</v>
      </c>
      <c r="C28" t="s">
        <v>494</v>
      </c>
      <c r="AP28" t="s">
        <v>1908</v>
      </c>
      <c r="AQ28" t="s">
        <v>1909</v>
      </c>
      <c r="AV28" t="s">
        <v>1910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1911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1912</v>
      </c>
      <c r="AA30" t="s">
        <v>1913</v>
      </c>
      <c r="AI30" t="s">
        <v>1914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1915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1916</v>
      </c>
      <c r="Z32" t="s">
        <v>1917</v>
      </c>
      <c r="AN32" t="s">
        <v>1918</v>
      </c>
      <c r="AS32" t="s">
        <v>1919</v>
      </c>
    </row>
    <row r="33" spans="1:49" x14ac:dyDescent="0.3">
      <c r="A33" t="str">
        <f t="shared" si="3"/>
        <v>Acquisition File - Form 7 - Notice of abandonement</v>
      </c>
      <c r="B33" t="s">
        <v>1868</v>
      </c>
      <c r="C33" t="s">
        <v>492</v>
      </c>
      <c r="AV33" t="s">
        <v>1920</v>
      </c>
    </row>
    <row r="34" spans="1:49" s="23" customFormat="1" x14ac:dyDescent="0.3">
      <c r="A34" s="23" t="s">
        <v>1876</v>
      </c>
      <c r="B34" s="23" t="s">
        <v>737</v>
      </c>
      <c r="C34" s="23" t="s">
        <v>493</v>
      </c>
      <c r="H34" s="36"/>
      <c r="I34" s="36"/>
      <c r="L34" s="36"/>
      <c r="O34" s="36"/>
      <c r="Q34" s="36"/>
      <c r="AV34" s="23" t="s">
        <v>1921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751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752</v>
      </c>
      <c r="H36" s="13">
        <v>46862</v>
      </c>
      <c r="AE36" t="s">
        <v>753</v>
      </c>
      <c r="AN36" t="s">
        <v>1922</v>
      </c>
      <c r="AV36" t="s">
        <v>754</v>
      </c>
    </row>
    <row r="37" spans="1:49" x14ac:dyDescent="0.3">
      <c r="A37" t="str">
        <f t="shared" si="4"/>
        <v>Project -Financial records (invoices, journal vouchers, received cheques etc.)</v>
      </c>
      <c r="B37" t="s">
        <v>1863</v>
      </c>
      <c r="C37" t="s">
        <v>489</v>
      </c>
      <c r="AV37" t="s">
        <v>755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756</v>
      </c>
      <c r="W38" t="s">
        <v>1923</v>
      </c>
      <c r="Z38" t="s">
        <v>1924</v>
      </c>
      <c r="AA38" t="s">
        <v>1925</v>
      </c>
      <c r="AO38" s="13">
        <v>43757</v>
      </c>
      <c r="AR38" t="s">
        <v>1926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1927</v>
      </c>
      <c r="AV39" t="s">
        <v>1928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757</v>
      </c>
      <c r="AI40" t="s">
        <v>1929</v>
      </c>
      <c r="AJ40" t="s">
        <v>1930</v>
      </c>
      <c r="AL40" t="s">
        <v>1931</v>
      </c>
      <c r="AM40" t="s">
        <v>1932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1933</v>
      </c>
      <c r="H41" s="13">
        <v>32301</v>
      </c>
      <c r="W41" t="s">
        <v>758</v>
      </c>
      <c r="Z41" t="s">
        <v>759</v>
      </c>
      <c r="AA41" t="s">
        <v>760</v>
      </c>
      <c r="AE41" t="s">
        <v>1934</v>
      </c>
      <c r="AN41" t="s">
        <v>1935</v>
      </c>
      <c r="AO41" s="4"/>
      <c r="AP41" s="4"/>
      <c r="AQ41" s="4"/>
      <c r="AV41" t="s">
        <v>1936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1937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1938</v>
      </c>
    </row>
    <row r="44" spans="1:49" s="23" customFormat="1" x14ac:dyDescent="0.3">
      <c r="A44" s="23" t="s">
        <v>1874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1144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1864</v>
      </c>
      <c r="C45" t="s">
        <v>490</v>
      </c>
      <c r="AV45" t="s">
        <v>1273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1865</v>
      </c>
      <c r="C46" t="s">
        <v>491</v>
      </c>
      <c r="AV46" t="s">
        <v>1939</v>
      </c>
    </row>
    <row r="47" spans="1:49" x14ac:dyDescent="0.3">
      <c r="A47" t="str">
        <f t="shared" si="5"/>
        <v>Disposition File -First Nations Strength of Claim Report</v>
      </c>
      <c r="B47" t="s">
        <v>1866</v>
      </c>
      <c r="C47" t="s">
        <v>492</v>
      </c>
      <c r="AV47" t="s">
        <v>1940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1941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1942</v>
      </c>
    </row>
    <row r="50" spans="1:53" x14ac:dyDescent="0.3">
      <c r="A50" t="str">
        <f t="shared" si="5"/>
        <v>Disposition File -Order in Council (OIC)</v>
      </c>
      <c r="B50" t="s">
        <v>734</v>
      </c>
      <c r="C50" t="s">
        <v>495</v>
      </c>
      <c r="AB50">
        <v>89997</v>
      </c>
      <c r="AC50" t="s">
        <v>1943</v>
      </c>
      <c r="AD50" t="s">
        <v>1944</v>
      </c>
      <c r="AS50" t="s">
        <v>1945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1867</v>
      </c>
      <c r="C51" t="s">
        <v>489</v>
      </c>
      <c r="AV51" t="s">
        <v>1946</v>
      </c>
    </row>
    <row r="52" spans="1:53" x14ac:dyDescent="0.3">
      <c r="A52" t="str">
        <f t="shared" si="5"/>
        <v>Disposition File -Record of negotiation</v>
      </c>
      <c r="B52" t="s">
        <v>743</v>
      </c>
      <c r="C52" t="s">
        <v>490</v>
      </c>
      <c r="AV52" t="s">
        <v>1947</v>
      </c>
    </row>
    <row r="53" spans="1:53" x14ac:dyDescent="0.3">
      <c r="A53" t="str">
        <f t="shared" si="5"/>
        <v>Disposition File -Release of claims</v>
      </c>
      <c r="B53" t="s">
        <v>744</v>
      </c>
      <c r="C53" t="s">
        <v>491</v>
      </c>
      <c r="AV53" t="s">
        <v>1948</v>
      </c>
    </row>
    <row r="54" spans="1:53" s="23" customFormat="1" x14ac:dyDescent="0.3">
      <c r="A54" s="23" t="s">
        <v>1877</v>
      </c>
      <c r="B54" s="23" t="s">
        <v>740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1949</v>
      </c>
      <c r="AS54" s="23" t="s">
        <v>1950</v>
      </c>
      <c r="AW54" s="36"/>
      <c r="AY54" s="23" t="s">
        <v>1951</v>
      </c>
    </row>
    <row r="55" spans="1:53" x14ac:dyDescent="0.3">
      <c r="A55" t="str">
        <f>_xlfn.CONCAT("Property Management -",B55)</f>
        <v>Property Management -Approval/sign-off</v>
      </c>
      <c r="B55" t="s">
        <v>1869</v>
      </c>
      <c r="C55" t="s">
        <v>493</v>
      </c>
      <c r="AV55" t="s">
        <v>1952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1870</v>
      </c>
      <c r="C56" t="s">
        <v>494</v>
      </c>
      <c r="AV56" t="s">
        <v>1963</v>
      </c>
    </row>
    <row r="57" spans="1:53" x14ac:dyDescent="0.3">
      <c r="A57" t="str">
        <f t="shared" si="6"/>
        <v>Property Management -Form 1 - Notice of expropriation </v>
      </c>
      <c r="B57" t="s">
        <v>1871</v>
      </c>
      <c r="C57" t="s">
        <v>495</v>
      </c>
      <c r="AV57" t="s">
        <v>1962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1953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V59" t="s">
        <v>1954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1961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V62" t="s">
        <v>1960</v>
      </c>
    </row>
    <row r="63" spans="1:53" x14ac:dyDescent="0.3">
      <c r="A63" t="str">
        <f t="shared" si="6"/>
        <v>Property Management -Transfer of administration</v>
      </c>
      <c r="B63" t="s">
        <v>740</v>
      </c>
      <c r="C63" t="s">
        <v>494</v>
      </c>
      <c r="I63" s="13">
        <v>32874</v>
      </c>
      <c r="Z63" t="s">
        <v>1955</v>
      </c>
      <c r="AN63" t="s">
        <v>1956</v>
      </c>
      <c r="AS63" t="s">
        <v>1380</v>
      </c>
      <c r="AY63" t="s">
        <v>1957</v>
      </c>
    </row>
    <row r="64" spans="1:53" x14ac:dyDescent="0.3">
      <c r="A64" t="str">
        <f t="shared" si="6"/>
        <v>Property Management -Form 9 - Vesting notice (Form 9)</v>
      </c>
      <c r="B64" t="s">
        <v>1872</v>
      </c>
      <c r="C64" t="s">
        <v>495</v>
      </c>
      <c r="AV64" t="s">
        <v>1959</v>
      </c>
    </row>
    <row r="65" spans="1:53" s="23" customFormat="1" x14ac:dyDescent="0.3">
      <c r="A65" s="23" t="s">
        <v>1878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1958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1864</v>
      </c>
      <c r="C66" t="s">
        <v>490</v>
      </c>
      <c r="AV66" t="s">
        <v>2243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2244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2250</v>
      </c>
      <c r="H68" s="13">
        <v>32928</v>
      </c>
      <c r="AE68" t="s">
        <v>2255</v>
      </c>
      <c r="AN68" t="s">
        <v>2256</v>
      </c>
      <c r="AV68" t="s">
        <v>2258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2245</v>
      </c>
      <c r="AS69" t="s">
        <v>2246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2247</v>
      </c>
      <c r="M70" t="s">
        <v>2248</v>
      </c>
      <c r="V70" t="s">
        <v>2249</v>
      </c>
    </row>
    <row r="71" spans="1:53" s="23" customFormat="1" x14ac:dyDescent="0.3">
      <c r="A71" s="23" t="s">
        <v>2242</v>
      </c>
      <c r="B71" s="23" t="s">
        <v>473</v>
      </c>
      <c r="C71" s="23" t="s">
        <v>495</v>
      </c>
      <c r="H71" s="36"/>
      <c r="I71" s="36"/>
      <c r="L71" s="36"/>
      <c r="N71" s="23" t="s">
        <v>2251</v>
      </c>
      <c r="O71" s="36"/>
      <c r="Q71" s="36"/>
      <c r="W71" s="23" t="s">
        <v>2252</v>
      </c>
      <c r="Z71" s="23" t="s">
        <v>2253</v>
      </c>
      <c r="AA71" s="23" t="s">
        <v>2254</v>
      </c>
      <c r="AO71" s="36">
        <v>45616</v>
      </c>
      <c r="AR71" s="23" t="s">
        <v>2257</v>
      </c>
      <c r="AW71" s="36"/>
    </row>
    <row r="72" spans="1:53" x14ac:dyDescent="0.3">
      <c r="A72" t="s">
        <v>2346</v>
      </c>
      <c r="B72" t="s">
        <v>737</v>
      </c>
      <c r="C72" t="s">
        <v>489</v>
      </c>
      <c r="AV72" t="s">
        <v>2349</v>
      </c>
    </row>
    <row r="73" spans="1:53" x14ac:dyDescent="0.3">
      <c r="A73" t="s">
        <v>2347</v>
      </c>
      <c r="B73" t="s">
        <v>455</v>
      </c>
      <c r="C73" t="s">
        <v>490</v>
      </c>
      <c r="F73" t="s">
        <v>2350</v>
      </c>
      <c r="U73" t="s">
        <v>2245</v>
      </c>
      <c r="AT73" t="s">
        <v>2351</v>
      </c>
      <c r="BA73">
        <v>2025</v>
      </c>
    </row>
    <row r="74" spans="1:53" x14ac:dyDescent="0.3">
      <c r="A74" t="s">
        <v>2348</v>
      </c>
      <c r="B74" t="s">
        <v>457</v>
      </c>
      <c r="C74" t="s">
        <v>491</v>
      </c>
      <c r="E74" t="s">
        <v>2352</v>
      </c>
      <c r="T74" t="s">
        <v>2353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2147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2147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2184</v>
      </c>
    </row>
    <row r="7" spans="1:2" x14ac:dyDescent="0.3">
      <c r="A7" t="s">
        <v>1151</v>
      </c>
      <c r="B7" t="s">
        <v>2148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2147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2259</v>
      </c>
      <c r="B12" t="s">
        <v>2147</v>
      </c>
    </row>
    <row r="13" spans="1:2" x14ac:dyDescent="0.3">
      <c r="A13" t="s">
        <v>2260</v>
      </c>
      <c r="B13" t="s">
        <v>2261</v>
      </c>
    </row>
    <row r="14" spans="1:2" x14ac:dyDescent="0.3">
      <c r="A14" t="s">
        <v>2387</v>
      </c>
      <c r="B14" t="s">
        <v>2385</v>
      </c>
    </row>
    <row r="15" spans="1:2" x14ac:dyDescent="0.3">
      <c r="A15" t="s">
        <v>2386</v>
      </c>
      <c r="B15" t="s">
        <v>2261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2025-11-22T01:41:29Z</dcterms:modified>
</cp:coreProperties>
</file>