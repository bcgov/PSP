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2155D447-18A7-466A-85F3-46C6B8FB4DFC}" xr6:coauthVersionLast="47" xr6:coauthVersionMax="47" xr10:uidLastSave="{00000000-0000-0000-0000-000000000000}"/>
  <bookViews>
    <workbookView xWindow="28680" yWindow="-120" windowWidth="38640" windowHeight="21120" tabRatio="950" firstSheet="21" activeTab="34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PropertiesImprovements" sheetId="46" r:id="rId35"/>
    <sheet name="ManagementFiles" sheetId="44" r:id="rId36"/>
    <sheet name="PropertyManagement" sheetId="30" r:id="rId37"/>
    <sheet name="PropertyManagementContact" sheetId="31" r:id="rId38"/>
    <sheet name="PropertyManagementActivity" sheetId="32" r:id="rId39"/>
    <sheet name="ManagementPropActivityInvoice" sheetId="33" r:id="rId40"/>
    <sheet name="Takes" sheetId="27" r:id="rId41"/>
    <sheet name="SubdivisionConsolidation" sheetId="38" r:id="rId42"/>
    <sheet name="DocumentsIndex" sheetId="13" r:id="rId43"/>
    <sheet name="DocumentsDetails" sheetId="12" r:id="rId44"/>
    <sheet name="Notes" sheetId="10" r:id="rId45"/>
  </sheets>
  <definedNames>
    <definedName name="_xlnm._FilterDatabase" localSheetId="4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<sst xmlns="http://schemas.openxmlformats.org/spreadsheetml/2006/main" count="4418" uniqueCount="2445">
  <si>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</si>
  <si>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</si>
  <si>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</si>
  <si>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</si>
  <si>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</si>
  <si>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</si>
  <si>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</si>
  <si>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</si>
  <si>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</si>
  <si>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</si>
  <si>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</si>
  <si>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</si>
  <si>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</si>
  <si>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</si>
  <si>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</si>
  <si>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</si>
  <si>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</si>
  <si>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</si>
  <si>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</si>
  <si>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</si>
  <si>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</si>
  <si>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</si>
  <si>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</si>
  <si>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</si>
  <si>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</si>
  <si>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</si>
  <si>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</si>
  <si>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</si>
  <si>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</si>
  <si>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</si>
  <si>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</si>
  <si>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</si>
  <si>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</si>
  <si>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</si>
  <si>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</si>
  <si>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</si>
  <si>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</si>
  <si>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</si>
  <si>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</si>
  <si>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</si>
  <si>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</si>
  <si>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</si>
  <si>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</si>
  <si>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</si>
  <si>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</si>
  <si>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</si>
  <si>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</si>
  <si>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</si>
  <si>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</si>
  <si>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</si>
  <si>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</si>
  <si>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</si>
  <si>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</si>
  <si>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</si>
  <si>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</si>
  <si>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</si>
  <si>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</si>
  <si>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</si>
  <si>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</si>
  <si>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</si>
  <si>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</si>
  <si>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</si>
  <si>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</si>
  <si>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</si>
  <si>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</si>
  <si>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</si>
  <si>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</si>
  <si>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</si>
  <si>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</si>
  <si>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</si>
  <si>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</si>
  <si>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</si>
  <si>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</si>
  <si>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</si>
  <si>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</si>
  <si>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</si>
  <si>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</si>
  <si>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</si>
  <si>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</si>
  <si>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</si>
  <si>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</si>
  <si>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</si>
  <si>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</si>
  <si>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</si>
  <si>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</si>
  <si>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</si>
  <si>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</si>
  <si>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</si>
  <si>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</si>
  <si>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</si>
  <si>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</si>
  <si>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</si>
  <si>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</si>
  <si>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</si>
  <si>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</si>
  <si>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</si>
  <si>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</si>
  <si>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</si>
  <si>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</si>
  <si>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</si>
  <si>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</si>
  <si>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</si>
  <si>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</si>
  <si>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</si>
  <si>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</si>
  <si>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</si>
  <si>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</si>
  <si>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</si>
  <si>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</si>
  <si>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</si>
  <si>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</si>
  <si>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</si>
  <si>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</si>
  <si>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</si>
  <si>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</si>
  <si>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</si>
  <si>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</si>
  <si>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</si>
  <si>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</si>
  <si>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</si>
  <si>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</si>
  <si>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</si>
  <si>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</si>
  <si>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</si>
  <si>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</si>
  <si>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</si>
  <si>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</si>
  <si>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</si>
  <si>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</si>
  <si>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</si>
  <si>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</si>
  <si>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</si>
  <si>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</si>
  <si>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</si>
  <si>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</si>
  <si>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</si>
  <si>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</si>
  <si>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</si>
  <si>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</si>
  <si>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</si>
  <si>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</si>
  <si>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</si>
  <si>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</si>
  <si>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</si>
  <si>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</si>
  <si>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</si>
  <si>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</si>
  <si>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</si>
  <si>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</si>
  <si>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</si>
  <si>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</si>
  <si>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</si>
  <si>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</si>
  <si>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</si>
  <si>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</si>
  <si>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</si>
  <si>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</si>
  <si>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</si>
  <si>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</si>
  <si>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</si>
  <si>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</si>
  <si>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</si>
  <si>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</si>
  <si>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</si>
  <si>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</si>
  <si>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</si>
  <si>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</si>
  <si>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</si>
  <si>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</si>
  <si>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</si>
  <si>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</si>
  <si>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</si>
  <si>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</si>
  <si>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</si>
  <si>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</si>
  <si>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</si>
  <si>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</si>
  <si>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</si>
  <si>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</si>
  <si>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</si>
  <si>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</si>
  <si>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</si>
  <si>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</si>
  <si>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</si>
  <si>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</si>
  <si>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</si>
  <si>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</si>
  <si>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</si>
  <si>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</si>
  <si>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</si>
  <si>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</si>
  <si>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</si>
  <si>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</si>
  <si>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</si>
  <si>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</si>
  <si>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</si>
  <si>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</si>
  <si>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</si>
  <si>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</si>
  <si>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</si>
  <si>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</si>
  <si>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</si>
  <si>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</si>
  <si>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</si>
  <si>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</si>
  <si>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</si>
  <si>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</si>
  <si>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</si>
  <si>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</si>
  <si>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</si>
  <si>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</si>
  <si>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</si>
  <si>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</si>
  <si>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</si>
  <si>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</si>
  <si>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</si>
  <si>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</si>
  <si>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</si>
  <si>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</si>
  <si>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</si>
  <si>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</si>
  <si>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</si>
  <si>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</si>
  <si>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</si>
  <si>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</si>
  <si>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</si>
  <si>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</si>
  <si>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</si>
  <si>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</si>
  <si>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</si>
  <si>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</si>
  <si>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</si>
  <si>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</si>
  <si>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</si>
  <si>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</si>
  <si>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</si>
  <si>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</si>
  <si>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</si>
  <si>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</si>
  <si>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</si>
  <si>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</si>
  <si>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</si>
  <si>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</si>
  <si>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</si>
  <si>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</si>
  <si>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</si>
  <si>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</si>
  <si>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</si>
  <si>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</si>
  <si>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</si>
  <si>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</si>
  <si>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</si>
  <si>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</si>
  <si>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</si>
  <si>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</si>
  <si>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</si>
  <si>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</si>
  <si>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</si>
  <si>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</si>
  <si>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</si>
  <si>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</si>
  <si>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</si>
  <si>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</si>
  <si>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</si>
  <si>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</si>
  <si>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</si>
  <si>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</si>
  <si>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</si>
  <si>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</si>
  <si>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</si>
  <si>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</si>
  <si>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</si>
  <si>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</si>
  <si>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</si>
  <si>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</si>
  <si>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</si>
  <si>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</si>
  <si>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</si>
  <si>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</si>
  <si>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</si>
  <si>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</si>
  <si>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</si>
  <si>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</si>
  <si>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</si>
  <si>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</si>
  <si>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</si>
  <si>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</si>
  <si>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</si>
  <si>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</si>
  <si>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</si>
  <si>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</si>
  <si>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</si>
  <si>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</si>
  <si>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</si>
  <si>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</si>
  <si>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</si>
  <si>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</si>
  <si>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</si>
  <si>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</si>
  <si>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</si>
  <si>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</si>
  <si>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</si>
  <si>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</si>
  <si>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</si>
  <si>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</si>
  <si>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</si>
  <si>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</si>
  <si>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</si>
  <si>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</si>
  <si>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</si>
  <si>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</si>
  <si>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</si>
  <si>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</si>
  <si>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</si>
  <si>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</si>
  <si>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</si>
  <si>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</si>
  <si>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</si>
  <si>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</si>
  <si>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</si>
  <si>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</si>
  <si>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</si>
  <si>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</si>
  <si>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</si>
  <si>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</si>
  <si>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</si>
  <si>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</si>
  <si>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</si>
  <si>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</si>
  <si>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</si>
  <si>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</si>
  <si>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</si>
  <si>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</si>
  <si>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</si>
  <si>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</si>
  <si>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</si>
  <si>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</si>
  <si>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</si>
  <si>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</si>
  <si>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</si>
  <si>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</si>
  <si>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</si>
  <si>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</si>
  <si>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</si>
  <si>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</si>
  <si>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</si>
  <si>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</si>
  <si>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</si>
  <si>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</si>
  <si>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</si>
  <si>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</si>
  <si>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</si>
  <si>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</si>
  <si>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</si>
  <si>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</si>
  <si>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</si>
  <si>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</si>
  <si>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</si>
  <si>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</si>
  <si>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</si>
  <si>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</si>
  <si>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</si>
  <si>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</si>
  <si>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</si>
  <si>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</si>
  <si>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</si>
  <si>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</si>
  <si>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</si>
  <si>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</si>
  <si>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</si>
  <si>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</si>
  <si>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</si>
  <si>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</si>
  <si>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</si>
  <si>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</si>
  <si>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</si>
  <si>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</si>
  <si>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</si>
  <si>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</si>
  <si>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</si>
  <si>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</si>
  <si>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</si>
  <si>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</si>
  <si>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</si>
  <si>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</si>
  <si>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</si>
  <si>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</si>
  <si>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</si>
  <si>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</si>
  <si>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</si>
  <si>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</si>
  <si>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</si>
  <si>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</si>
  <si>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</si>
  <si>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</si>
  <si>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</si>
  <si>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</si>
  <si>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</si>
  <si>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</si>
  <si>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</si>
  <si>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</si>
  <si>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</si>
  <si>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</si>
  <si>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</si>
  <si>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</si>
  <si>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</si>
  <si>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</si>
  <si>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</si>
  <si>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</si>
  <si>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</si>
  <si>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</si>
  <si>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</si>
  <si>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</si>
  <si>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</si>
  <si>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</si>
  <si>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</si>
  <si>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</si>
  <si>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</si>
  <si>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</si>
  <si>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</si>
  <si>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</si>
  <si>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</si>
  <si>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</si>
  <si>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</si>
  <si>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</si>
  <si>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</si>
  <si>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</si>
  <si>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</si>
  <si>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</si>
  <si>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</si>
  <si>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</si>
  <si>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</si>
  <si>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</si>
  <si>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</si>
  <si>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</si>
  <si>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</si>
  <si>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</si>
  <si>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</si>
  <si>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</si>
  <si>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</si>
  <si>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</si>
  <si>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</si>
  <si>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</si>
  <si>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</si>
  <si>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</si>
  <si>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</si>
  <si>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</si>
  <si>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</si>
  <si>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</si>
  <si>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</si>
  <si>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</si>
  <si>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</si>
  <si>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</si>
  <si>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</si>
  <si>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</si>
  <si>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</si>
  <si>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</si>
  <si>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</si>
  <si>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</si>
  <si>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</si>
  <si>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</si>
  <si>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</si>
  <si>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</si>
  <si>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</si>
  <si>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</si>
  <si>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</si>
  <si>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</si>
  <si>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</si>
  <si>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</si>
  <si>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</si>
  <si>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</si>
  <si>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</si>
  <si>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</si>
  <si>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</si>
  <si>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</si>
  <si>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</si>
  <si>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</si>
  <si>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</si>
  <si>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</si>
  <si>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</si>
  <si>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</si>
  <si>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</si>
  <si>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</si>
  <si>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</si>
  <si>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</si>
  <si>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</si>
  <si>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</si>
  <si>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</si>
  <si>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</si>
  <si>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</si>
  <si>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</si>
  <si>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</si>
  <si>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</si>
  <si>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</si>
  <si>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</si>
  <si>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</si>
  <si>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</si>
  <si>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</si>
  <si>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</si>
  <si>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</si>
  <si>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</si>
  <si>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</si>
  <si>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</si>
  <si>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</si>
  <si>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</si>
  <si>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</si>
  <si>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</si>
  <si>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</si>
  <si>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</si>
  <si>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</si>
  <si>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</si>
  <si>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</si>
  <si>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</si>
  <si>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</si>
  <si>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</si>
  <si>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</si>
  <si>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</si>
  <si>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</si>
  <si>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</si>
  <si>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</si>
  <si>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</si>
  <si>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</si>
  <si>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</si>
  <si>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</si>
  <si>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</si>
  <si>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</si>
  <si>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</si>
  <si>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</si>
  <si>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</si>
  <si>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</si>
  <si>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</si>
  <si>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</si>
  <si>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</si>
  <si>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</si>
  <si>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</si>
  <si>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</si>
  <si>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</si>
  <si>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</si>
  <si>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</si>
  <si>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</si>
  <si>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</si>
  <si>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</si>
  <si>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</si>
  <si>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</si>
  <si>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</si>
  <si>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</si>
  <si>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</si>
  <si>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</si>
  <si>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</si>
  <si>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</si>
  <si>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</si>
  <si>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</si>
  <si>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</si>
  <si>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</si>
  <si>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</si>
  <si>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</si>
  <si>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</si>
  <si>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</si>
  <si>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</si>
  <si>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</si>
  <si>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</si>
  <si>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</si>
  <si>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</si>
  <si>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</si>
  <si>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</si>
  <si>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</si>
  <si>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</si>
  <si>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</si>
  <si>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</si>
  <si>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</si>
  <si>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</si>
  <si>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</si>
  <si>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</si>
  <si>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</si>
  <si>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</si>
  <si>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</si>
  <si>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</si>
  <si>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</si>
  <si>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</si>
  <si>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</si>
  <si>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</si>
  <si>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</si>
  <si>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</si>
  <si>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</si>
  <si>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</si>
  <si>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</si>
  <si>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</si>
  <si>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</si>
  <si>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</si>
  <si>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</si>
  <si>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</si>
  <si>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</si>
  <si>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</si>
  <si>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</si>
  <si>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</si>
  <si>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</si>
  <si>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</si>
  <si>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</si>
  <si>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</si>
  <si>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</si>
  <si>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</si>
  <si>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</si>
  <si>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</si>
  <si>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</si>
  <si>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</si>
  <si>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</si>
  <si>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</si>
  <si>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</si>
  <si>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</si>
  <si>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</si>
  <si>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</si>
  <si>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</si>
  <si>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</si>
  <si>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</si>
  <si>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</si>
  <si>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</si>
  <si>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</si>
  <si>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</si>
  <si>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</si>
  <si>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</si>
  <si>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</si>
  <si>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</si>
  <si>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</si>
  <si>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</si>
  <si>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</si>
  <si>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</si>
  <si>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</si>
  <si>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</si>
  <si>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</si>
  <si>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</si>
  <si>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</si>
  <si>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</si>
  <si>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</si>
  <si>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</si>
  <si>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</si>
  <si>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</si>
  <si>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</si>
  <si>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</si>
  <si>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</si>
  <si>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</si>
  <si>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</si>
  <si>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</si>
  <si>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</si>
  <si>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</si>
  <si>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</si>
  <si>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</si>
  <si>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</si>
  <si>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</si>
  <si>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</si>
  <si>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</si>
  <si>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</si>
  <si>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</si>
  <si>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</si>
  <si>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</si>
  <si>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</si>
  <si>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</si>
  <si>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</si>
  <si>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</si>
  <si>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</si>
  <si>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</si>
  <si>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</si>
  <si>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</si>
  <si>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</si>
  <si>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</si>
  <si>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</si>
  <si>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</si>
  <si>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</si>
  <si>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</si>
  <si>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</si>
  <si>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</si>
  <si>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</si>
  <si>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</si>
  <si>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</si>
  <si>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</si>
  <si>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</si>
  <si>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</si>
  <si>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</si>
  <si>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</si>
  <si>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</si>
  <si>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</si>
  <si>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</si>
  <si>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</si>
  <si>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</si>
  <si>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</si>
  <si>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</si>
  <si>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</si>
  <si>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</si>
  <si>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</si>
  <si>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</si>
  <si>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</si>
  <si>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</si>
  <si>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</si>
  <si>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</si>
  <si>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</si>
  <si>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</si>
  <si>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</si>
  <si>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</si>
  <si>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</si>
  <si>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</si>
  <si>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</si>
  <si>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</si>
  <si>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</si>
  <si>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</si>
  <si>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</si>
  <si>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</si>
  <si>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</si>
  <si>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</si>
  <si>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</si>
  <si>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</si>
  <si>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</si>
  <si>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</si>
  <si>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</si>
  <si>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</si>
  <si>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</si>
  <si>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</si>
  <si>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</si>
  <si>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</si>
  <si>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</si>
  <si>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</si>
  <si>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</si>
  <si>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</si>
  <si>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</si>
  <si>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</si>
  <si>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</si>
  <si>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</si>
  <si>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</si>
  <si>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</si>
  <si>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</si>
  <si>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</si>
  <si>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</si>
  <si>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</si>
  <si>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</si>
  <si>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</si>
  <si>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</si>
  <si>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</si>
  <si>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</si>
  <si>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</si>
  <si>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</si>
  <si>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</si>
  <si>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</si>
  <si>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</si>
  <si>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</si>
  <si>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</si>
  <si>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</si>
  <si>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</si>
  <si>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</si>
  <si>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</si>
  <si>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</si>
  <si>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</si>
  <si>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</si>
  <si>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</si>
  <si>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</si>
  <si>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</si>
  <si>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</si>
  <si>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</si>
  <si>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</si>
  <si>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</si>
  <si>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</si>
  <si>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</si>
  <si>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</si>
  <si>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</si>
  <si>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</si>
  <si>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</si>
  <si>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</si>
  <si>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</si>
  <si>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</si>
  <si>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</si>
  <si>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</si>
  <si>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</si>
  <si>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</si>
  <si>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</si>
  <si>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</si>
  <si>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</si>
  <si>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</si>
  <si>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</si>
  <si>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</si>
  <si>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</si>
  <si>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</si>
  <si>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</si>
  <si>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</si>
  <si>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</si>
  <si>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</si>
  <si>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</si>
  <si>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</si>
  <si>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</si>
  <si>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</si>
  <si>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</si>
  <si>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</si>
  <si>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</si>
  <si>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</si>
  <si>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</si>
  <si>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</si>
  <si>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</si>
  <si>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</si>
  <si>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</si>
  <si>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</si>
  <si>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</si>
  <si>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</si>
  <si>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</si>
  <si>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</si>
  <si>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</si>
  <si>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</si>
  <si>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</si>
  <si>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</si>
  <si>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</si>
  <si>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</si>
  <si>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</si>
  <si>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</si>
  <si>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</si>
  <si>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</si>
  <si>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</si>
  <si>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</si>
  <si>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</si>
  <si>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</si>
  <si>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</si>
  <si>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</si>
  <si>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</si>
  <si>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</si>
  <si>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</si>
  <si>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</si>
  <si>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</si>
  <si>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</si>
  <si>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</si>
  <si>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</si>
  <si>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</si>
  <si>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</si>
  <si>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</si>
  <si>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</si>
  <si>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</si>
  <si>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</si>
  <si>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</si>
  <si>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</si>
  <si>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</si>
  <si>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</si>
  <si>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</si>
  <si>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</si>
  <si>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</si>
  <si>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</si>
  <si>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</si>
  <si>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</si>
  <si>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</si>
  <si>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</si>
  <si>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</si>
  <si>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</si>
  <si>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</si>
  <si>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</si>
  <si>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</si>
  <si>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</si>
  <si>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</si>
  <si>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</si>
  <si>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</si>
  <si>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</si>
  <si>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</si>
  <si>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</si>
  <si>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</si>
  <si>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</si>
  <si>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</si>
  <si>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</si>
  <si>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</si>
  <si>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</si>
  <si>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</si>
  <si>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</si>
  <si>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</si>
  <si>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</si>
  <si>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</si>
  <si>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</si>
  <si>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</si>
  <si>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</si>
  <si>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</si>
  <si>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</si>
  <si>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</si>
  <si>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</si>
  <si>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</si>
  <si>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</si>
  <si>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</si>
  <si>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</si>
  <si>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</si>
  <si>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</si>
  <si>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</si>
  <si>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</si>
  <si>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</si>
  <si>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</si>
  <si>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</si>
  <si>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</si>
  <si>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</si>
  <si>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</si>
  <si>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</si>
  <si>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</si>
  <si>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</si>
  <si>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</si>
  <si>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</si>
  <si>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</si>
  <si>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</si>
  <si>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</si>
  <si>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</si>
  <si>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</si>
  <si>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</si>
  <si>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</si>
  <si>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</si>
  <si>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</si>
  <si>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</si>
  <si>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</si>
  <si>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</si>
  <si>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</si>
  <si>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</si>
  <si>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</si>
  <si>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</si>
  <si>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</si>
  <si>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</si>
  <si>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</si>
  <si>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</si>
  <si>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</si>
  <si>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</si>
  <si>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</si>
  <si>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</si>
  <si>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</si>
  <si>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</si>
  <si>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</si>
  <si>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</si>
  <si>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</si>
  <si>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</si>
  <si>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</si>
  <si>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</si>
  <si>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</si>
  <si>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</si>
  <si>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</si>
  <si>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</si>
  <si>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</si>
  <si>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</si>
  <si>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</si>
  <si>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</si>
  <si>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</si>
  <si>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</si>
  <si>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</si>
  <si>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</si>
  <si>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</si>
  <si>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</si>
  <si>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</si>
  <si>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</si>
  <si>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</si>
  <si>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</si>
  <si>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</si>
  <si>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</si>
  <si>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</si>
  <si>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</si>
  <si>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</si>
  <si>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</si>
  <si>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</si>
  <si>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</si>
  <si>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</si>
  <si>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</si>
  <si>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</si>
  <si>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</si>
  <si>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</si>
  <si>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</si>
  <si>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</si>
  <si>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</si>
  <si>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</si>
  <si>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</si>
  <si>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</si>
  <si>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</si>
  <si>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</si>
  <si>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</si>
  <si>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</si>
  <si>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</si>
  <si>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</si>
  <si>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</si>
  <si>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</si>
  <si>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</si>
  <si>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</si>
  <si>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</si>
  <si>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</si>
  <si>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</si>
  <si>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</si>
  <si>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</si>
  <si>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</si>
  <si>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</si>
  <si>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</si>
  <si>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</si>
  <si>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</si>
  <si>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</si>
  <si>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</si>
  <si>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</si>
  <si>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</si>
  <si>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</si>
  <si>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</si>
  <si>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</si>
  <si>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</si>
  <si>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</si>
  <si>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</si>
  <si>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</si>
  <si>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</si>
  <si>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</si>
  <si>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</si>
  <si>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</si>
  <si>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</si>
  <si>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</si>
  <si>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</si>
  <si>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</si>
  <si>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</si>
  <si>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</si>
  <si>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</si>
  <si>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</si>
  <si>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</si>
  <si>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</si>
  <si>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</si>
  <si>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</si>
  <si>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</si>
  <si>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</si>
  <si>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</si>
  <si>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</si>
  <si>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</si>
  <si>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</si>
  <si>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</si>
  <si>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</si>
  <si>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</si>
  <si>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</si>
  <si>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</si>
  <si>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</si>
  <si>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</si>
  <si>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</si>
  <si>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</si>
  <si>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</si>
  <si>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</si>
  <si>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</si>
  <si>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</si>
  <si>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</si>
  <si>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</si>
  <si>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</si>
  <si>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</si>
  <si>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</si>
  <si>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</si>
  <si>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</si>
  <si>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</si>
  <si>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</si>
  <si>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</si>
  <si>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</si>
  <si>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</si>
  <si>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</si>
  <si>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</si>
  <si>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</si>
  <si>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</si>
  <si>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</si>
  <si>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</si>
  <si>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</si>
  <si>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</si>
  <si>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</si>
  <si>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</si>
  <si>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</si>
  <si>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</si>
  <si>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</si>
  <si>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</si>
  <si>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</si>
  <si>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</si>
  <si>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</si>
  <si>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</si>
  <si>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</si>
  <si>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</si>
  <si>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</si>
  <si>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</si>
  <si>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</si>
  <si>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</si>
  <si>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</si>
  <si>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</si>
  <si>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</si>
  <si>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</si>
  <si>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</si>
  <si>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</si>
  <si>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</si>
  <si>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</si>
  <si>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</si>
  <si>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</si>
  <si>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</si>
  <si>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</si>
  <si>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</si>
  <si>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</si>
  <si>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</si>
  <si>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</si>
  <si>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</si>
  <si>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</si>
  <si>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</si>
  <si>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</si>
  <si>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</si>
  <si>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</si>
  <si>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</si>
  <si>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</si>
  <si>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</si>
  <si>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</si>
  <si>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</si>
  <si>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</si>
  <si>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</si>
  <si>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</si>
  <si>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</si>
  <si>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</si>
  <si>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</si>
  <si>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</si>
  <si>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</si>
  <si>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</si>
  <si>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</si>
  <si>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</si>
  <si>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</si>
  <si>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</si>
  <si>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</si>
  <si>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</si>
  <si>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</si>
  <si>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</si>
  <si>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</si>
  <si>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</si>
  <si>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</si>
  <si>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</si>
  <si>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</si>
  <si>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</si>
  <si>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</si>
  <si>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</si>
  <si>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</si>
  <si>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</si>
  <si>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</si>
  <si>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</si>
  <si>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</si>
  <si>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</si>
  <si>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</si>
  <si>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</si>
  <si>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</si>
  <si>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</si>
  <si>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</si>
  <si>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</si>
  <si>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</si>
  <si>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</si>
  <si>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</si>
  <si>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</si>
  <si>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</si>
  <si>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</si>
  <si>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</si>
  <si>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</si>
  <si>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</si>
  <si>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</si>
  <si>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</si>
  <si>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</si>
  <si>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</si>
  <si>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</si>
  <si>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</si>
  <si>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</si>
  <si>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</si>
  <si>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</si>
  <si>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</si>
  <si>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</si>
  <si>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</si>
  <si>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</si>
  <si>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</si>
  <si>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</si>
  <si>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</si>
  <si>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</si>
  <si>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</si>
  <si>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</si>
  <si>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</si>
  <si>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</si>
  <si>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</si>
  <si>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</si>
  <si>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</si>
  <si>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</si>
  <si>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</si>
  <si>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</si>
  <si>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</si>
  <si>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</si>
  <si>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</si>
  <si>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</si>
  <si>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</si>
  <si>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</si>
  <si>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</si>
  <si>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</si>
  <si>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</si>
  <si>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</si>
  <si>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</si>
  <si>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</si>
  <si>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</si>
  <si>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</si>
  <si>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</si>
  <si>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</si>
  <si>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</si>
  <si>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</si>
  <si>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</si>
  <si>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</si>
  <si>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</si>
  <si>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</si>
  <si>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</si>
  <si>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</si>
  <si>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</si>
  <si>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</si>
  <si>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</si>
  <si>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</si>
  <si>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</si>
  <si>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</si>
  <si>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</si>
  <si>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</si>
  <si>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</si>
  <si>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</si>
  <si>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</si>
  <si>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</si>
  <si>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</si>
  <si>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</si>
  <si>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</si>
  <si>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</si>
  <si>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</si>
  <si>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</si>
  <si>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</si>
  <si>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</si>
  <si>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</si>
  <si>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</si>
  <si>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</si>
  <si>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</si>
  <si>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</si>
  <si>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</si>
  <si>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</si>
  <si>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</si>
  <si>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</si>
  <si>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</si>
  <si>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</si>
  <si>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</si>
  <si>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</si>
  <si>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</si>
  <si>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</si>
  <si>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</si>
  <si>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</si>
  <si>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</si>
  <si>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</si>
  <si>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</si>
  <si>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</si>
  <si>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</si>
  <si>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</si>
  <si>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</si>
  <si>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</si>
  <si>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</si>
  <si>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</si>
  <si>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</si>
  <si>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</si>
  <si>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</si>
  <si>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</si>
  <si>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</si>
  <si>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</si>
  <si>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</si>
  <si>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</si>
  <si>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</si>
  <si>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</si>
  <si>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</si>
  <si>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</si>
  <si>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</si>
  <si>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</si>
  <si>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</si>
  <si>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</si>
  <si>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</si>
  <si>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</si>
  <si>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</si>
  <si>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</si>
  <si>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</si>
  <si>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</si>
  <si>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</si>
  <si>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</si>
  <si>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</si>
  <si>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</si>
  <si>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</si>
  <si>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</si>
  <si>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</si>
  <si>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</si>
  <si>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</si>
  <si>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</si>
  <si>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</si>
  <si>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</si>
  <si>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</si>
  <si>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</si>
  <si>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</si>
  <si>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</si>
  <si>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</si>
  <si>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</si>
  <si>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</si>
  <si>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</si>
  <si>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</si>
  <si>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</si>
  <si>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</si>
  <si>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</si>
  <si>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</si>
  <si>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</si>
  <si>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</si>
  <si>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</si>
  <si>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</si>
  <si>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</si>
  <si>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</si>
  <si>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</si>
  <si>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</si>
  <si>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</si>
  <si>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</si>
  <si>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</si>
  <si>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</si>
  <si>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</si>
  <si>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</si>
  <si>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</si>
  <si>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</si>
  <si>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</si>
  <si>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</si>
  <si>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</si>
  <si>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</si>
  <si>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</si>
  <si>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</si>
  <si>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</si>
  <si>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</si>
  <si>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</si>
  <si>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</si>
  <si>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</si>
  <si>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</si>
  <si>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</si>
  <si>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</si>
  <si>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</si>
  <si>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</si>
  <si>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</si>
  <si>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</si>
  <si>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</si>
  <si>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</si>
  <si>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</si>
  <si>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</si>
  <si>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</si>
  <si>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</si>
  <si>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</si>
  <si>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</si>
  <si>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</si>
  <si>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</si>
  <si>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</si>
  <si>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</si>
  <si>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</si>
  <si>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</si>
  <si>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</si>
  <si>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</si>
  <si>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</si>
  <si>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</si>
  <si>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</si>
  <si>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</si>
  <si>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</si>
  <si>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</si>
  <si>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</si>
  <si>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</si>
  <si>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</si>
  <si>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</si>
  <si>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</si>
  <si>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</si>
  <si>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</si>
  <si>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</si>
  <si>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</si>
  <si>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</si>
  <si>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</si>
  <si>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</si>
  <si>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</si>
  <si>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</si>
  <si>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</si>
  <si>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</si>
  <si>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</si>
  <si>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</si>
  <si>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</si>
  <si>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</si>
  <si>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</si>
  <si>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</si>
  <si>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</si>
  <si>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</si>
  <si>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</si>
  <si>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</si>
  <si>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</si>
  <si>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</si>
  <si>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</si>
  <si>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</si>
  <si>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</si>
  <si>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</si>
  <si>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</si>
  <si>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</si>
  <si>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</si>
  <si>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</si>
  <si>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</si>
  <si>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</si>
  <si>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</si>
  <si>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</si>
  <si>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</si>
  <si>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</si>
  <si>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</si>
  <si>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</si>
  <si>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</si>
  <si>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</si>
  <si>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</si>
  <si>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</si>
  <si>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</si>
  <si>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</si>
  <si>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</si>
  <si>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</si>
  <si>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</si>
  <si>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</si>
  <si>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</si>
  <si>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</si>
  <si>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</si>
  <si>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</si>
  <si>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</si>
  <si>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</si>
  <si>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</si>
  <si>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</si>
  <si>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</si>
  <si>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</si>
  <si>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</si>
  <si>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</si>
  <si>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</si>
  <si>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</si>
  <si>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</si>
  <si>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</si>
  <si>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</si>
  <si>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</si>
  <si>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</si>
  <si>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</si>
  <si>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</si>
  <si>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</si>
  <si>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</si>
  <si>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</si>
  <si>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</si>
  <si>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</si>
  <si>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</si>
  <si>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</si>
  <si>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</si>
  <si>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</si>
  <si>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</si>
  <si>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</si>
  <si>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</si>
  <si>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</si>
  <si>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</si>
  <si>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</si>
  <si>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</si>
  <si>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</si>
  <si>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</si>
  <si>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</si>
  <si>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</si>
  <si>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</si>
  <si>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</si>
  <si>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</si>
  <si>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</si>
  <si>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</si>
  <si>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</si>
  <si>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</si>
  <si>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</si>
  <si>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</si>
  <si>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</si>
  <si>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</si>
  <si>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</si>
  <si>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</si>
  <si>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</si>
  <si>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</si>
  <si>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</si>
  <si>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</si>
  <si>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</si>
  <si>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</si>
  <si>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</si>
  <si>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</si>
  <si>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</si>
  <si>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</si>
  <si>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</si>
  <si>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</si>
  <si>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</si>
  <si>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</si>
  <si>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</si>
  <si>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</si>
  <si>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</si>
  <si>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</si>
  <si>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</si>
  <si>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</si>
  <si>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</si>
  <si>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</si>
  <si>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</si>
  <si>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</si>
  <si>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</si>
  <si>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</si>
  <si>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</si>
  <si>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</si>
  <si>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</si>
  <si>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</si>
  <si>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</si>
  <si>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</si>
  <si>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</si>
  <si>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</si>
  <si>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</si>
  <si>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</si>
  <si>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</si>
  <si>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</si>
  <si>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</si>
  <si>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</si>
  <si>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</si>
  <si>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</si>
  <si>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</si>
  <si>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</si>
  <si>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</si>
  <si>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</si>
  <si>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</si>
  <si>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</si>
  <si>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</si>
  <si>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</si>
  <si>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</si>
  <si>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</si>
  <si>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</si>
  <si>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</si>
  <si>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</si>
  <si>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</si>
  <si>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</si>
  <si>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</si>
  <si>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</si>
  <si>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</si>
  <si>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</si>
  <si>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</si>
  <si>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</si>
  <si>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</si>
  <si>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</si>
  <si>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</si>
  <si>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</si>
  <si>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</si>
  <si>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</si>
  <si>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</si>
  <si>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</si>
  <si>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</si>
  <si>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</si>
  <si>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</si>
  <si>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</si>
  <si>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</si>
  <si>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</si>
  <si>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</si>
  <si>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</si>
  <si>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</si>
  <si>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</si>
  <si>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</si>
  <si>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</si>
  <si>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</si>
  <si>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</si>
  <si>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</si>
  <si>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</si>
  <si>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</si>
  <si>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</si>
  <si>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</si>
  <si>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</si>
  <si>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</si>
  <si>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</si>
  <si>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</si>
  <si>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</si>
  <si>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</si>
  <si>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</si>
  <si>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</si>
  <si>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</si>
  <si>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</si>
  <si>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</si>
  <si>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</si>
  <si>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</si>
  <si>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</si>
  <si>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</si>
  <si>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</si>
  <si>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</si>
  <si>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</si>
  <si>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</si>
  <si>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</si>
  <si>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</si>
  <si>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</si>
  <si>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</si>
  <si>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</si>
  <si>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</si>
  <si>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</si>
  <si>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</si>
  <si>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</si>
  <si>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</si>
  <si>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</si>
  <si>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</si>
  <si>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</si>
  <si>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</si>
  <si>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</si>
  <si>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</si>
  <si>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</si>
  <si>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</si>
  <si>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</si>
  <si>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</si>
  <si>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</si>
  <si>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</si>
  <si>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</si>
  <si>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</si>
  <si>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</si>
  <si>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</si>
  <si>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</si>
  <si>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</si>
  <si>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</si>
  <si>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</si>
  <si>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</si>
  <si>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</si>
  <si>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</si>
  <si>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</si>
  <si>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</si>
  <si>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</si>
  <si>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</si>
  <si>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</si>
  <si>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</si>
  <si>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</si>
  <si>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</si>
  <si>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</si>
  <si>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</si>
  <si>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</si>
  <si>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</si>
  <si>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</si>
  <si>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</si>
  <si>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</si>
  <si>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</si>
  <si>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</si>
  <si>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</si>
  <si>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</si>
  <si>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</si>
  <si>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</si>
  <si>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</si>
  <si>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</si>
  <si>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</si>
  <si>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</si>
  <si>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</si>
  <si>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</si>
  <si>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</si>
  <si>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</si>
  <si>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</si>
  <si>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</si>
  <si>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</si>
  <si>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</si>
  <si>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</si>
  <si>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</si>
  <si>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</si>
  <si>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</si>
  <si>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</si>
  <si>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</si>
  <si>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</si>
  <si>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</si>
  <si>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</si>
  <si>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</si>
  <si>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</si>
  <si>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</si>
  <si>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</si>
  <si>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</si>
  <si>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</si>
  <si>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</si>
  <si>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</si>
  <si>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</si>
  <si>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</si>
  <si>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</si>
  <si>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</si>
  <si>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</si>
  <si>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</si>
  <si>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</si>
  <si>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</si>
  <si>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</si>
  <si>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</si>
  <si>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</si>
  <si>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</si>
  <si>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</si>
  <si>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</si>
  <si>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</si>
  <si>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</si>
  <si>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</si>
  <si>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</si>
  <si>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</si>
  <si>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</si>
  <si>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</si>
  <si>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</si>
  <si>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</si>
  <si>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</si>
  <si>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</si>
  <si>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</si>
  <si>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</si>
  <si>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</si>
  <si>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</si>
  <si>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</si>
  <si>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</si>
  <si>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</si>
  <si>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</si>
  <si>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</si>
  <si>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</si>
  <si>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</si>
  <si>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</si>
  <si>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</si>
  <si>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</si>
  <si>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</si>
  <si>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</si>
  <si>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</si>
  <si>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</si>
  <si>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</si>
  <si>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</si>
  <si>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</si>
  <si>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</si>
  <si>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</si>
  <si>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</si>
  <si>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</si>
  <si>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</si>
  <si>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</si>
  <si>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</si>
  <si>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</si>
  <si>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</si>
  <si>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</si>
  <si>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</si>
  <si>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</si>
  <si>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</si>
  <si>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</si>
  <si>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</si>
  <si>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</si>
  <si>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</si>
  <si>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</si>
  <si>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</si>
  <si>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</si>
  <si>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</si>
  <si>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</si>
  <si>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</si>
  <si>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</si>
  <si>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</si>
  <si>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</si>
  <si>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</si>
  <si>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</si>
  <si>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</si>
  <si>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</si>
  <si>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</si>
  <si>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</si>
  <si>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</si>
  <si>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</si>
  <si>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</si>
  <si>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</si>
  <si>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</si>
  <si>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</si>
  <si>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</si>
  <si>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</si>
  <si>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</si>
  <si>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</si>
  <si>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</si>
  <si>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</si>
  <si>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</si>
  <si>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</si>
  <si>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</si>
  <si>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</si>
  <si>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</si>
  <si>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</si>
  <si>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</si>
  <si>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</si>
  <si>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</si>
  <si>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</si>
  <si>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</si>
  <si>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</si>
  <si>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</si>
  <si>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</si>
  <si>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</si>
  <si>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</si>
  <si>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</si>
  <si>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</si>
  <si>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</si>
  <si>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</si>
  <si>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</si>
  <si>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</si>
  <si>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</si>
  <si>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</si>
  <si>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</si>
  <si>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</si>
  <si>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</si>
  <si>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</si>
  <si>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</si>
  <si>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</si>
  <si>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</si>
  <si>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</si>
  <si>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</si>
  <si>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</si>
  <si>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</si>
  <si>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</si>
  <si>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</si>
  <si>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</si>
  <si>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</si>
  <si>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</si>
  <si>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</si>
  <si>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</si>
  <si>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</si>
  <si>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</si>
  <si>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</si>
  <si>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</si>
  <si>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</si>
  <si>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</si>
  <si>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</si>
  <si>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</si>
  <si>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</si>
  <si>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</si>
  <si>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</si>
  <si>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</si>
  <si>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</si>
  <si>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</si>
  <si>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</si>
  <si>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</si>
  <si>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</si>
  <si>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</si>
  <si>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</si>
  <si>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</si>
  <si>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</si>
  <si>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</si>
  <si>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</si>
  <si>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</si>
  <si>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</si>
  <si>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</si>
  <si>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</si>
  <si>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</si>
  <si>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</si>
  <si>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</si>
  <si>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</si>
  <si>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</si>
  <si>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</si>
  <si>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</si>
  <si>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</si>
  <si>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</si>
  <si>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</si>
  <si>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</si>
  <si>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</si>
  <si>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</si>
  <si>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</si>
  <si>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</si>
  <si>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</si>
  <si>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</si>
  <si>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</si>
  <si>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</si>
  <si>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</si>
  <si>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</si>
  <si>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</si>
  <si>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</si>
  <si>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</si>
  <si>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</si>
  <si>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</si>
  <si>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</si>
  <si>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</si>
  <si>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</si>
  <si>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</si>
  <si>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</si>
  <si>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</si>
  <si>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</si>
  <si>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</si>
  <si>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</si>
  <si>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</si>
  <si>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</si>
  <si>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</si>
  <si>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</si>
  <si>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</si>
  <si>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</si>
  <si>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</si>
  <si>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</si>
  <si>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</si>
  <si>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</si>
  <si>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</si>
  <si>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</si>
  <si>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</si>
  <si>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</si>
  <si>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</si>
  <si>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</si>
  <si>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</si>
  <si>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</si>
  <si>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</si>
  <si>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</si>
  <si>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</si>
  <si>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</si>
  <si>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</si>
  <si>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</si>
  <si>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</si>
  <si>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</si>
  <si>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</si>
  <si>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</si>
  <si>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</si>
  <si>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</si>
  <si>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</si>
  <si>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</si>
  <si>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</si>
  <si>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</si>
  <si>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</si>
  <si>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</si>
  <si>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</si>
  <si>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</si>
  <si>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</si>
  <si>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</si>
  <si>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</si>
  <si>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</si>
  <si>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</si>
  <si>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</si>
  <si>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</si>
  <si>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</si>
  <si>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</si>
  <si>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</si>
  <si>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</si>
  <si>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</si>
  <si>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</si>
  <si>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</si>
  <si>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</si>
  <si>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</si>
  <si>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</si>
  <si>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</si>
  <si>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</si>
  <si>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</si>
  <si>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</si>
  <si>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</si>
  <si>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</si>
  <si>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</si>
  <si>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</si>
  <si>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</si>
  <si>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</si>
  <si>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</si>
  <si>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</si>
  <si>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</si>
  <si>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</si>
  <si>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</si>
  <si>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</si>
  <si>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</si>
  <si>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</si>
  <si>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</si>
  <si>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</si>
  <si>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</si>
  <si>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</si>
  <si>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</si>
  <si>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</si>
  <si>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</si>
  <si>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</si>
  <si>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</si>
  <si>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</si>
  <si>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</si>
  <si>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</si>
  <si>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</si>
  <si>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</si>
  <si>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</si>
  <si>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</si>
  <si>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</si>
  <si>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</si>
  <si>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</si>
  <si>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</si>
  <si>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</si>
  <si>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</si>
  <si>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</si>
  <si>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</si>
  <si>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</si>
  <si>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</si>
  <si>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</si>
  <si>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</si>
  <si>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</si>
  <si>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</si>
  <si>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</si>
  <si>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</si>
  <si>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</si>
  <si>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</si>
  <si>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</si>
  <si>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</si>
  <si>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</si>
  <si>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</si>
  <si>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</si>
  <si>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</si>
  <si>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</si>
  <si>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</si>
  <si>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</si>
  <si>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</si>
  <si>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</si>
  <si>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</si>
  <si>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</si>
  <si>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</si>
  <si>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</si>
  <si>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</si>
  <si>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</si>
  <si>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</si>
  <si>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</si>
  <si>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</si>
  <si>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</si>
  <si>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</si>
  <si>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</si>
  <si>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</si>
  <si>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</si>
  <si>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</si>
  <si>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</si>
  <si>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</si>
  <si>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</si>
  <si>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</si>
  <si>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</si>
  <si>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</si>
  <si>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</si>
  <si>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</si>
  <si>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</si>
  <si>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</si>
  <si>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</si>
  <si>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</si>
  <si>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</si>
  <si>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</si>
  <si>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</si>
  <si>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</si>
  <si>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</si>
  <si>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</si>
  <si>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</si>
  <si>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</si>
  <si>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</si>
  <si>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</si>
  <si>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</si>
  <si>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</si>
  <si>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</si>
  <si>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</si>
  <si>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</si>
  <si>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</si>
  <si>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</si>
  <si>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</si>
  <si>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</si>
  <si>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</si>
  <si>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</si>
  <si>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</si>
  <si>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</si>
  <si>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</si>
  <si>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</si>
  <si>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</si>
  <si>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</si>
  <si>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</si>
  <si>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</si>
  <si>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</si>
  <si>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</si>
  <si>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</si>
  <si>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</si>
  <si>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</si>
  <si>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</si>
  <si>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</si>
  <si>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</si>
  <si>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</si>
  <si>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</si>
  <si>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</si>
  <si>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</si>
  <si>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</si>
  <si>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</si>
  <si>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</si>
  <si>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</si>
  <si>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</si>
  <si>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</si>
  <si>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</si>
  <si>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</si>
  <si>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</si>
  <si>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</si>
  <si>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</si>
  <si>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</si>
  <si>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</si>
  <si>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</si>
  <si>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</si>
  <si>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</si>
  <si>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</si>
  <si>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</si>
  <si>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</si>
  <si>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</si>
  <si>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</si>
  <si>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</si>
  <si>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</si>
  <si>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</si>
  <si>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</si>
  <si>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</si>
  <si>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</si>
  <si>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</si>
  <si>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</si>
  <si>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</si>
  <si>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</si>
  <si>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</si>
  <si>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</si>
  <si>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</si>
  <si>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</si>
  <si>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</si>
  <si>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</si>
  <si>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</si>
  <si>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</si>
  <si>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</si>
  <si>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</si>
  <si>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</si>
  <si>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</si>
  <si>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</si>
  <si>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</si>
  <si>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</si>
  <si>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</si>
  <si>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</si>
  <si>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</si>
  <si>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</si>
  <si>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</si>
  <si>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</si>
  <si>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</si>
  <si>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</si>
  <si>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</si>
  <si>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</si>
  <si>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</si>
  <si>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</si>
  <si>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</si>
  <si>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</si>
  <si>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</si>
  <si>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</si>
  <si>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</si>
  <si>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</si>
  <si>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</si>
  <si>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</si>
  <si>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</si>
  <si>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</si>
  <si>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</si>
  <si>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</si>
  <si>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</si>
  <si>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</si>
  <si>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</si>
  <si>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</si>
  <si>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</si>
  <si>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</si>
  <si>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</si>
  <si>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</si>
  <si>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</si>
  <si>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</si>
  <si>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</si>
  <si>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</si>
  <si>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</si>
  <si>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</si>
  <si>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</si>
  <si>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</si>
  <si>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</si>
  <si>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</si>
  <si>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</si>
  <si>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</si>
  <si>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</si>
  <si>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</si>
  <si>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</si>
  <si>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</si>
  <si>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</si>
  <si>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</si>
  <si>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</si>
  <si>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</si>
  <si>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</si>
  <si>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</si>
  <si>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</si>
  <si>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</si>
  <si>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</si>
  <si>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</si>
  <si>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</si>
  <si>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</si>
  <si>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</si>
  <si>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</si>
  <si>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</si>
  <si>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</si>
  <si>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</si>
  <si>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</si>
  <si>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</si>
  <si>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</si>
  <si>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</si>
  <si>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</si>
  <si>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</si>
  <si>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</si>
  <si>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</si>
  <si>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</si>
  <si>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</si>
  <si>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</si>
  <si>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</si>
  <si>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</si>
  <si>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</si>
  <si>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</si>
  <si>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</si>
  <si>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</si>
  <si>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</si>
  <si>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</si>
  <si>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</si>
  <si>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</si>
  <si>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</si>
  <si>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</si>
  <si>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</si>
  <si>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</si>
  <si>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</si>
  <si>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</si>
  <si>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</si>
  <si>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</si>
  <si>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</si>
  <si>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</si>
  <si>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</si>
  <si>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</si>
  <si>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</si>
  <si>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</si>
  <si>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</si>
  <si>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</si>
  <si>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</si>
  <si>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</si>
  <si>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</si>
  <si>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</si>
  <si>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</si>
  <si>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</si>
  <si>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</si>
  <si>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</si>
  <si>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</si>
  <si>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</si>
  <si>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</si>
  <si>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</si>
  <si>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</si>
  <si>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</si>
  <si>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</si>
  <si>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</si>
  <si>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</si>
  <si>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</si>
  <si>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</si>
  <si>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</si>
  <si>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</si>
  <si>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</si>
  <si>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</si>
  <si>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</si>
  <si>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</si>
  <si>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</si>
  <si>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</si>
  <si>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</si>
  <si>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</si>
  <si>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</si>
  <si>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</si>
  <si>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</si>
  <si>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</si>
  <si>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</si>
  <si>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</si>
  <si>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</si>
  <si>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</si>
  <si>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</si>
  <si>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</si>
  <si>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</si>
  <si>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</si>
  <si>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</si>
  <si>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</si>
  <si>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</si>
  <si>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</si>
  <si>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</si>
  <si>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</si>
  <si>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</si>
  <si>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</si>
  <si>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</si>
  <si>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</si>
  <si>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</si>
  <si>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</si>
  <si>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</si>
  <si>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</si>
  <si>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</si>
  <si>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</si>
  <si>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</si>
  <si>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</si>
  <si>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</si>
  <si>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</si>
  <si>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</si>
  <si>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</si>
  <si>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</si>
  <si>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</si>
  <si>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</si>
  <si>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</si>
  <si>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</si>
  <si>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</si>
  <si>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</si>
  <si>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</si>
  <si>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</si>
  <si>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</si>
  <si>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</si>
  <si>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</si>
  <si>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</si>
  <si>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</si>
  <si>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</si>
  <si>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</si>
  <si>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</si>
  <si>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</si>
  <si>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</si>
  <si>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</si>
  <si>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</si>
  <si>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</si>
  <si>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</si>
  <si>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</si>
  <si>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</si>
  <si>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</si>
  <si>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</si>
  <si>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</si>
  <si>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</si>
  <si>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</si>
  <si>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</si>
  <si>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</si>
  <si>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</si>
  <si>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</si>
  <si>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</si>
  <si>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</si>
  <si>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</si>
  <si>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</si>
  <si>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</si>
  <si>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</si>
  <si>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</si>
  <si>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</si>
  <si>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</si>
  <si>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</si>
  <si>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</si>
  <si>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</si>
  <si>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</si>
  <si>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</si>
  <si>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</si>
  <si>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</si>
  <si>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</si>
  <si>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</si>
  <si>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</si>
  <si>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</si>
  <si>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</si>
  <si>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</si>
  <si>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</si>
  <si>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</si>
  <si>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</si>
  <si>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</si>
  <si>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</si>
  <si>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</si>
  <si>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</si>
  <si>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</si>
  <si>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</si>
  <si>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</si>
  <si>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</si>
  <si>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</si>
  <si>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</si>
  <si>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</si>
  <si>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</si>
  <si>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</si>
  <si>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</si>
  <si>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</si>
  <si>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</si>
  <si>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</si>
  <si>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</si>
  <si>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</si>
  <si>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</si>
  <si>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</si>
  <si>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</si>
  <si>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</si>
  <si>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</si>
  <si>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</si>
  <si>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</si>
  <si>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</si>
  <si>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</si>
  <si>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</si>
  <si>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</si>
  <si>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</si>
  <si>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</si>
  <si>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</si>
  <si>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</si>
  <si>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</si>
  <si>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</si>
  <si>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</si>
  <si>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</si>
  <si>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</si>
  <si>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</si>
  <si>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</si>
  <si>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</si>
  <si>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</si>
  <si>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</si>
  <si>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</si>
  <si>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</si>
  <si>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</si>
  <si>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</si>
  <si>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</si>
  <si>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</si>
  <si>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</si>
  <si>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</si>
  <si>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</si>
  <si>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</si>
  <si>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</si>
  <si>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</si>
  <si>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</si>
  <si>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</si>
  <si>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</si>
  <si>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</si>
  <si>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</si>
  <si>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</si>
  <si>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</si>
  <si>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</si>
  <si>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</si>
  <si>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</si>
  <si>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</si>
  <si>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</si>
  <si>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</si>
  <si>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</si>
  <si>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</si>
  <si>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</si>
  <si>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</si>
  <si>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</si>
  <si>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</si>
  <si>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</si>
  <si>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</si>
  <si>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</si>
  <si>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</si>
  <si>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</si>
  <si>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</si>
  <si>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</si>
  <si>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</si>
  <si>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</si>
  <si>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</si>
  <si>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</si>
  <si>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</si>
  <si>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</si>
  <si>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</si>
  <si>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</si>
  <si>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</si>
  <si>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</si>
  <si>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</si>
  <si>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</si>
  <si>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</si>
  <si>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</si>
  <si>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</si>
  <si>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</si>
  <si>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</si>
  <si>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</si>
  <si>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</si>
  <si>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</si>
  <si>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</si>
  <si>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</si>
  <si>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</si>
  <si>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</si>
  <si>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</si>
  <si>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</si>
  <si>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</si>
  <si>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</si>
  <si>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</si>
  <si>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</si>
  <si>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</si>
  <si>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</si>
  <si>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</si>
  <si>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</si>
  <si>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</si>
  <si>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</si>
  <si>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</si>
  <si>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</si>
  <si>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</si>
  <si>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</si>
  <si>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000-133-884</t>
  </si>
  <si>
    <t>005-565-405;015-069-940;-131.339444, 52.308056</t>
  </si>
  <si>
    <t>PropertyTenureCleanup</t>
  </si>
  <si>
    <t>Form12;Needs Survey</t>
  </si>
  <si>
    <t>AcquisitionNOCReceivedDate</t>
  </si>
  <si>
    <t>AcquisitionNOCComments</t>
  </si>
  <si>
    <t>12/12/2025</t>
  </si>
  <si>
    <t>21/12/2025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</si>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</sst>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1994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2117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2118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1995</v>
      </c>
    </row>
    <row r="7" spans="1:15" x14ac:dyDescent="0.3">
      <c r="A7" t="s">
        <v>1127</v>
      </c>
      <c r="B7" t="s">
        <v>1118</v>
      </c>
      <c r="C7" t="s">
        <v>1119</v>
      </c>
      <c r="D7" t="str">
        <f t="shared" si="0"/>
        <v>AU-0005 Automation Project 05</v>
      </c>
      <c r="E7" t="s">
        <v>186</v>
      </c>
      <c r="F7" t="s">
        <v>190</v>
      </c>
      <c r="G7" t="s">
        <v>1120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1128</v>
      </c>
      <c r="B8" t="s">
        <v>1121</v>
      </c>
      <c r="C8" t="s">
        <v>1122</v>
      </c>
      <c r="D8" t="str">
        <f t="shared" si="0"/>
        <v>AU-0006 Automation Project 06</v>
      </c>
      <c r="E8" t="s">
        <v>186</v>
      </c>
      <c r="F8" t="s">
        <v>190</v>
      </c>
      <c r="G8" t="s">
        <v>1123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2128</v>
      </c>
      <c r="B9" t="s">
        <v>2130</v>
      </c>
      <c r="C9" t="s">
        <v>2129</v>
      </c>
      <c r="D9" t="str">
        <f>CONCATENATE(C9," ",B9)</f>
        <v>AU-0007 Automation Project 07</v>
      </c>
      <c r="E9" t="s">
        <v>186</v>
      </c>
      <c r="F9" t="s">
        <v>191</v>
      </c>
      <c r="G9" t="s">
        <v>2131</v>
      </c>
      <c r="H9" t="s">
        <v>2132</v>
      </c>
      <c r="I9" t="s">
        <v>2133</v>
      </c>
      <c r="J9" t="s">
        <v>2134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1238</v>
      </c>
      <c r="C1" s="3" t="s">
        <v>1239</v>
      </c>
      <c r="D1" s="3" t="s">
        <v>1240</v>
      </c>
      <c r="E1" s="3" t="s">
        <v>1241</v>
      </c>
      <c r="F1" s="3" t="s">
        <v>1242</v>
      </c>
      <c r="G1" s="3" t="s">
        <v>1243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1934</v>
      </c>
      <c r="H1" s="3" t="s">
        <v>3</v>
      </c>
      <c r="I1" s="3" t="s">
        <v>893</v>
      </c>
      <c r="J1" s="3" t="s">
        <v>894</v>
      </c>
      <c r="K1" s="3" t="s">
        <v>895</v>
      </c>
      <c r="L1" s="3" t="s">
        <v>896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902</v>
      </c>
      <c r="S1" s="3" t="s">
        <v>903</v>
      </c>
      <c r="T1" s="3" t="s">
        <v>904</v>
      </c>
      <c r="U1" s="3" t="s">
        <v>905</v>
      </c>
      <c r="V1" s="3" t="s">
        <v>906</v>
      </c>
      <c r="W1" s="3" t="s">
        <v>907</v>
      </c>
      <c r="X1" s="3" t="s">
        <v>908</v>
      </c>
      <c r="Y1" s="3" t="s">
        <v>909</v>
      </c>
      <c r="Z1" s="3" t="s">
        <v>910</v>
      </c>
      <c r="AA1" s="3" t="s">
        <v>911</v>
      </c>
      <c r="AB1" s="3" t="s">
        <v>912</v>
      </c>
      <c r="AC1" s="3" t="s">
        <v>913</v>
      </c>
      <c r="AD1" s="3" t="s">
        <v>914</v>
      </c>
      <c r="AE1" s="3" t="s">
        <v>915</v>
      </c>
      <c r="AF1" s="3" t="s">
        <v>916</v>
      </c>
      <c r="AG1" s="3" t="s">
        <v>917</v>
      </c>
      <c r="AH1" s="3" t="s">
        <v>918</v>
      </c>
      <c r="AI1" s="3" t="s">
        <v>919</v>
      </c>
      <c r="AJ1" s="3" t="s">
        <v>920</v>
      </c>
      <c r="AK1" s="3" t="s">
        <v>921</v>
      </c>
      <c r="AL1" s="3" t="s">
        <v>922</v>
      </c>
      <c r="AM1" s="3" t="s">
        <v>923</v>
      </c>
      <c r="AN1" s="3" t="s">
        <v>924</v>
      </c>
      <c r="AO1" s="3" t="s">
        <v>925</v>
      </c>
      <c r="AP1" s="3" t="s">
        <v>926</v>
      </c>
      <c r="AQ1" s="3" t="s">
        <v>927</v>
      </c>
      <c r="AR1" s="3" t="s">
        <v>928</v>
      </c>
      <c r="AS1" s="3" t="s">
        <v>929</v>
      </c>
      <c r="AT1" s="3" t="s">
        <v>930</v>
      </c>
      <c r="AU1" s="3" t="s">
        <v>931</v>
      </c>
      <c r="AV1" s="3" t="s">
        <v>932</v>
      </c>
      <c r="AW1" s="3" t="s">
        <v>933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1106</v>
      </c>
      <c r="S3" t="s">
        <v>85</v>
      </c>
      <c r="T3" t="s">
        <v>94</v>
      </c>
      <c r="AW3" t="s">
        <v>1097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1098</v>
      </c>
      <c r="G5" t="s">
        <v>113</v>
      </c>
      <c r="I5" s="1"/>
      <c r="L5" s="1"/>
      <c r="AE5" t="s">
        <v>1105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1099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1933</v>
      </c>
      <c r="F1" s="3" t="s">
        <v>934</v>
      </c>
      <c r="G1" s="3" t="s">
        <v>935</v>
      </c>
      <c r="H1" s="3" t="s">
        <v>936</v>
      </c>
      <c r="I1" s="3" t="s">
        <v>937</v>
      </c>
      <c r="J1" s="3" t="s">
        <v>938</v>
      </c>
      <c r="K1" s="3" t="s">
        <v>939</v>
      </c>
      <c r="L1" s="3" t="s">
        <v>940</v>
      </c>
      <c r="M1" s="3" t="s">
        <v>941</v>
      </c>
      <c r="N1" s="3" t="s">
        <v>942</v>
      </c>
      <c r="O1" s="3" t="s">
        <v>943</v>
      </c>
      <c r="P1" s="3" t="s">
        <v>944</v>
      </c>
      <c r="Q1" s="3" t="s">
        <v>945</v>
      </c>
      <c r="R1" s="3" t="s">
        <v>946</v>
      </c>
      <c r="S1" s="3" t="s">
        <v>947</v>
      </c>
      <c r="T1" s="3" t="s">
        <v>948</v>
      </c>
      <c r="U1" s="3" t="s">
        <v>949</v>
      </c>
      <c r="V1" s="3" t="s">
        <v>950</v>
      </c>
      <c r="W1" s="3" t="s">
        <v>951</v>
      </c>
      <c r="X1" s="3" t="s">
        <v>952</v>
      </c>
      <c r="Y1" s="3" t="s">
        <v>953</v>
      </c>
      <c r="Z1" s="3" t="s">
        <v>954</v>
      </c>
      <c r="AA1" s="3" t="s">
        <v>955</v>
      </c>
      <c r="AB1" s="3" t="s">
        <v>956</v>
      </c>
      <c r="AC1" s="3" t="s">
        <v>957</v>
      </c>
      <c r="AD1" s="3" t="s">
        <v>958</v>
      </c>
      <c r="AE1" s="3" t="s">
        <v>959</v>
      </c>
      <c r="AF1" s="3" t="s">
        <v>960</v>
      </c>
      <c r="AG1" s="3" t="s">
        <v>961</v>
      </c>
      <c r="AH1" s="3" t="s">
        <v>962</v>
      </c>
      <c r="AI1" s="3" t="s">
        <v>963</v>
      </c>
      <c r="AJ1" s="3" t="s">
        <v>964</v>
      </c>
      <c r="AK1" s="3" t="s">
        <v>965</v>
      </c>
      <c r="AL1" s="3" t="s">
        <v>966</v>
      </c>
      <c r="AM1" s="3" t="s">
        <v>967</v>
      </c>
      <c r="AN1" s="3" t="s">
        <v>968</v>
      </c>
      <c r="AO1" s="3" t="s">
        <v>969</v>
      </c>
      <c r="AP1" s="3" t="s">
        <v>970</v>
      </c>
      <c r="AQ1" s="3" t="s">
        <v>971</v>
      </c>
      <c r="AR1" s="3" t="s">
        <v>972</v>
      </c>
      <c r="AS1" s="3" t="s">
        <v>973</v>
      </c>
      <c r="AT1" s="3" t="s">
        <v>974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1100</v>
      </c>
      <c r="E3" t="s">
        <v>113</v>
      </c>
      <c r="I3" s="1" t="s">
        <v>1101</v>
      </c>
      <c r="J3" t="s">
        <v>83</v>
      </c>
      <c r="K3" t="s">
        <v>92</v>
      </c>
      <c r="L3" t="s">
        <v>1102</v>
      </c>
      <c r="M3" t="s">
        <v>89</v>
      </c>
      <c r="N3" t="s">
        <v>93</v>
      </c>
      <c r="AT3" t="s">
        <v>1103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1104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K34"/>
  <sheetViews>
    <sheetView topLeftCell="AP1" workbookViewId="0">
      <selection activeCell="AW41" sqref="AW4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8" width="19.33203125" bestFit="1" customWidth="1"/>
    <col min="49" max="49" width="27.33203125" bestFit="1" customWidth="1"/>
    <col min="50" max="50" width="24.5546875" bestFit="1" customWidth="1"/>
    <col min="51" max="51" width="14.33203125" bestFit="1" customWidth="1"/>
    <col min="52" max="52" width="24.5546875" bestFit="1" customWidth="1"/>
    <col min="53" max="53" width="27.6640625" bestFit="1" customWidth="1"/>
    <col min="54" max="54" width="21.6640625" bestFit="1" customWidth="1"/>
    <col min="55" max="55" width="11.44140625" bestFit="1" customWidth="1"/>
    <col min="56" max="56" width="21.6640625" bestFit="1" customWidth="1"/>
    <col min="57" max="57" width="42.5546875" bestFit="1" customWidth="1"/>
    <col min="58" max="58" width="18.6640625" bestFit="1" customWidth="1"/>
    <col min="59" max="59" width="8.44140625" bestFit="1" customWidth="1"/>
    <col min="60" max="60" width="18.5546875" customWidth="1"/>
    <col min="61" max="61" width="61.33203125" bestFit="1" customWidth="1"/>
    <col min="62" max="62" width="21.6640625" bestFit="1" customWidth="1"/>
    <col min="63" max="63" width="11.33203125" bestFit="1" customWidth="1"/>
    <col min="64" max="64" width="21.5546875" bestFit="1" customWidth="1"/>
    <col min="65" max="65" width="42.33203125" bestFit="1" customWidth="1"/>
    <col min="66" max="66" width="34.44140625" bestFit="1" customWidth="1"/>
    <col min="67" max="67" width="23.6640625" bestFit="1" customWidth="1"/>
    <col min="68" max="68" width="34.33203125" bestFit="1" customWidth="1"/>
    <col min="69" max="69" width="37.6640625" bestFit="1" customWidth="1"/>
    <col min="70" max="70" width="22.33203125" bestFit="1" customWidth="1"/>
    <col min="71" max="71" width="11.33203125" bestFit="1" customWidth="1"/>
    <col min="72" max="72" width="21.5546875" bestFit="1" customWidth="1"/>
    <col min="73" max="73" width="48.6640625" bestFit="1" customWidth="1"/>
    <col min="74" max="74" width="18.44140625" bestFit="1" customWidth="1"/>
    <col min="75" max="75" width="20.5546875" bestFit="1" customWidth="1"/>
    <col min="76" max="76" width="11.33203125" bestFit="1" customWidth="1"/>
    <col min="77" max="77" width="21.5546875" bestFit="1" customWidth="1"/>
    <col min="78" max="78" width="41.44140625" bestFit="1" customWidth="1"/>
    <col min="79" max="79" width="18.5546875" bestFit="1" customWidth="1"/>
    <col min="80" max="80" width="53.33203125" bestFit="1" customWidth="1"/>
    <col min="81" max="81" width="16.33203125" bestFit="1" customWidth="1"/>
    <col min="82" max="82" width="13.44140625" bestFit="1" customWidth="1"/>
    <col min="83" max="83" width="15.33203125" bestFit="1" customWidth="1"/>
    <col min="84" max="84" width="12.5546875" bestFit="1" customWidth="1"/>
    <col min="85" max="85" width="22.6640625" bestFit="1" customWidth="1"/>
    <col min="86" max="86" width="20.33203125" bestFit="1" customWidth="1"/>
    <col min="87" max="87" width="26.33203125" bestFit="1" customWidth="1"/>
    <col min="88" max="88" width="23.44140625" bestFit="1" customWidth="1"/>
    <col min="89" max="89" width="38.5546875" bestFit="1" customWidth="1"/>
  </cols>
  <sheetData>
    <row r="1" spans="1:89" s="3" customFormat="1" x14ac:dyDescent="0.3">
      <c r="A1" s="3" t="s">
        <v>104</v>
      </c>
      <c r="B1" s="3" t="s">
        <v>636</v>
      </c>
      <c r="C1" s="3" t="s">
        <v>505</v>
      </c>
      <c r="D1" s="3" t="s">
        <v>1731</v>
      </c>
      <c r="E1" s="3" t="s">
        <v>506</v>
      </c>
      <c r="F1" s="3" t="s">
        <v>1644</v>
      </c>
      <c r="G1" s="3" t="s">
        <v>1530</v>
      </c>
      <c r="H1" s="3" t="s">
        <v>1529</v>
      </c>
      <c r="I1" s="3" t="s">
        <v>507</v>
      </c>
      <c r="J1" s="3" t="s">
        <v>508</v>
      </c>
      <c r="K1" s="3" t="s">
        <v>509</v>
      </c>
      <c r="L1" s="3" t="s">
        <v>2426</v>
      </c>
      <c r="M1" s="3" t="s">
        <v>2427</v>
      </c>
      <c r="N1" s="3" t="s">
        <v>1627</v>
      </c>
      <c r="O1" s="3" t="s">
        <v>1628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1235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1624</v>
      </c>
      <c r="AC1" s="3" t="s">
        <v>1636</v>
      </c>
      <c r="AD1" s="3" t="s">
        <v>1637</v>
      </c>
      <c r="AE1" s="3" t="s">
        <v>1638</v>
      </c>
      <c r="AF1" s="3" t="s">
        <v>1639</v>
      </c>
      <c r="AG1" s="3" t="s">
        <v>2229</v>
      </c>
      <c r="AH1" s="3" t="s">
        <v>2230</v>
      </c>
      <c r="AI1" s="3" t="s">
        <v>1305</v>
      </c>
      <c r="AJ1" s="3" t="s">
        <v>1679</v>
      </c>
      <c r="AK1" s="3" t="s">
        <v>1678</v>
      </c>
      <c r="AL1" s="3" t="s">
        <v>1774</v>
      </c>
      <c r="AM1" s="3" t="s">
        <v>1775</v>
      </c>
      <c r="AN1" s="3" t="s">
        <v>1591</v>
      </c>
      <c r="AO1" s="3" t="s">
        <v>520</v>
      </c>
      <c r="AP1" s="3" t="s">
        <v>521</v>
      </c>
      <c r="AQ1" s="3" t="s">
        <v>1744</v>
      </c>
      <c r="AR1" s="3" t="s">
        <v>522</v>
      </c>
      <c r="AS1" s="3" t="s">
        <v>523</v>
      </c>
      <c r="AT1" s="3" t="s">
        <v>524</v>
      </c>
      <c r="AU1" s="3" t="s">
        <v>1620</v>
      </c>
      <c r="AV1" s="3" t="s">
        <v>1736</v>
      </c>
      <c r="AW1" s="3" t="s">
        <v>1737</v>
      </c>
      <c r="AX1" s="3" t="s">
        <v>1519</v>
      </c>
      <c r="AY1" s="3" t="s">
        <v>1520</v>
      </c>
      <c r="AZ1" s="3" t="s">
        <v>1521</v>
      </c>
      <c r="BA1" s="3" t="s">
        <v>1522</v>
      </c>
      <c r="BB1" s="3" t="s">
        <v>525</v>
      </c>
      <c r="BC1" s="3" t="s">
        <v>526</v>
      </c>
      <c r="BD1" s="3" t="s">
        <v>527</v>
      </c>
      <c r="BE1" s="3" t="s">
        <v>528</v>
      </c>
      <c r="BF1" s="3" t="s">
        <v>529</v>
      </c>
      <c r="BG1" s="3" t="s">
        <v>530</v>
      </c>
      <c r="BH1" s="3" t="s">
        <v>531</v>
      </c>
      <c r="BI1" s="3" t="s">
        <v>532</v>
      </c>
      <c r="BJ1" s="3" t="s">
        <v>533</v>
      </c>
      <c r="BK1" s="3" t="s">
        <v>534</v>
      </c>
      <c r="BL1" s="3" t="s">
        <v>535</v>
      </c>
      <c r="BM1" s="3" t="s">
        <v>536</v>
      </c>
      <c r="BN1" s="3" t="s">
        <v>1523</v>
      </c>
      <c r="BO1" s="3" t="s">
        <v>1524</v>
      </c>
      <c r="BP1" s="3" t="s">
        <v>1525</v>
      </c>
      <c r="BQ1" s="3" t="s">
        <v>1526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637</v>
      </c>
      <c r="CB1" s="3" t="s">
        <v>546</v>
      </c>
      <c r="CC1" s="3" t="s">
        <v>547</v>
      </c>
      <c r="CD1" s="3" t="s">
        <v>548</v>
      </c>
      <c r="CE1" s="3" t="s">
        <v>1704</v>
      </c>
      <c r="CF1" s="3" t="s">
        <v>1705</v>
      </c>
      <c r="CG1" s="3" t="s">
        <v>1699</v>
      </c>
      <c r="CH1" s="3" t="s">
        <v>1700</v>
      </c>
      <c r="CI1" s="3" t="s">
        <v>1751</v>
      </c>
      <c r="CJ1" s="3" t="s">
        <v>1752</v>
      </c>
      <c r="CK1" s="3" t="s">
        <v>1753</v>
      </c>
    </row>
    <row r="2" spans="1:89" x14ac:dyDescent="0.3">
      <c r="A2" t="s">
        <v>1442</v>
      </c>
      <c r="B2" t="s">
        <v>981</v>
      </c>
      <c r="C2" t="s">
        <v>980</v>
      </c>
      <c r="D2" t="s">
        <v>1937</v>
      </c>
      <c r="E2" t="s">
        <v>487</v>
      </c>
      <c r="I2" t="s">
        <v>550</v>
      </c>
      <c r="J2" s="4">
        <v>44614</v>
      </c>
      <c r="K2" s="4">
        <v>45373</v>
      </c>
      <c r="L2" s="4" t="s">
        <v>1950</v>
      </c>
      <c r="M2" s="4" t="s">
        <v>1951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1646</v>
      </c>
      <c r="T2" t="s">
        <v>1681</v>
      </c>
      <c r="V2" t="s">
        <v>2114</v>
      </c>
      <c r="W2" t="s">
        <v>1711</v>
      </c>
      <c r="X2" t="s">
        <v>553</v>
      </c>
      <c r="Y2" t="s">
        <v>438</v>
      </c>
      <c r="Z2" s="4">
        <v>44615</v>
      </c>
      <c r="AA2" t="s">
        <v>554</v>
      </c>
      <c r="AB2" t="s">
        <v>1625</v>
      </c>
      <c r="AC2" t="s">
        <v>264</v>
      </c>
      <c r="AD2" t="s">
        <v>264</v>
      </c>
      <c r="AE2" t="s">
        <v>1640</v>
      </c>
      <c r="AF2" t="s">
        <v>1641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2</v>
      </c>
      <c r="AW2">
        <v>2</v>
      </c>
      <c r="AX2" t="s">
        <v>264</v>
      </c>
      <c r="AY2">
        <v>100000</v>
      </c>
      <c r="AZ2" s="4">
        <v>44449</v>
      </c>
      <c r="BA2" t="s">
        <v>1528</v>
      </c>
      <c r="BB2" t="s">
        <v>266</v>
      </c>
      <c r="BC2">
        <v>25000</v>
      </c>
      <c r="BD2" s="4">
        <v>46003</v>
      </c>
      <c r="BE2" t="s">
        <v>556</v>
      </c>
      <c r="BF2" t="s">
        <v>295</v>
      </c>
      <c r="BG2">
        <v>205000</v>
      </c>
      <c r="BH2" s="4">
        <v>46368</v>
      </c>
      <c r="BI2" t="s">
        <v>557</v>
      </c>
      <c r="BJ2" t="s">
        <v>264</v>
      </c>
      <c r="BK2">
        <v>125000</v>
      </c>
      <c r="BL2" s="4">
        <v>46733</v>
      </c>
      <c r="BM2" t="s">
        <v>558</v>
      </c>
      <c r="BN2" t="s">
        <v>266</v>
      </c>
      <c r="BO2">
        <v>1290</v>
      </c>
      <c r="BP2" s="4">
        <v>47828</v>
      </c>
      <c r="BQ2" t="s">
        <v>1527</v>
      </c>
      <c r="BR2" t="s">
        <v>295</v>
      </c>
      <c r="BS2">
        <v>11000</v>
      </c>
      <c r="BT2" s="4">
        <v>45272</v>
      </c>
      <c r="BU2" t="s">
        <v>559</v>
      </c>
      <c r="BV2" t="s">
        <v>560</v>
      </c>
      <c r="BW2" t="s">
        <v>264</v>
      </c>
      <c r="BX2">
        <v>100000</v>
      </c>
      <c r="BY2" s="4">
        <v>45729</v>
      </c>
      <c r="BZ2" t="s">
        <v>561</v>
      </c>
      <c r="CA2">
        <v>7</v>
      </c>
      <c r="CB2" t="s">
        <v>562</v>
      </c>
      <c r="CC2">
        <v>1</v>
      </c>
      <c r="CD2">
        <v>2</v>
      </c>
      <c r="CE2">
        <v>1</v>
      </c>
      <c r="CF2">
        <v>4</v>
      </c>
      <c r="CG2">
        <v>1</v>
      </c>
      <c r="CH2">
        <v>5</v>
      </c>
      <c r="CI2">
        <v>0</v>
      </c>
      <c r="CJ2">
        <v>0</v>
      </c>
    </row>
    <row r="3" spans="1:89" x14ac:dyDescent="0.3">
      <c r="A3" t="s">
        <v>1443</v>
      </c>
      <c r="E3" t="s">
        <v>246</v>
      </c>
      <c r="F3" s="4">
        <v>45495</v>
      </c>
      <c r="I3" t="s">
        <v>2323</v>
      </c>
      <c r="J3" s="4">
        <v>44614</v>
      </c>
      <c r="K3" s="4">
        <v>45373</v>
      </c>
      <c r="L3" s="4" t="s">
        <v>1947</v>
      </c>
      <c r="M3" s="4" t="s">
        <v>2428</v>
      </c>
      <c r="N3" s="8">
        <v>4</v>
      </c>
      <c r="O3" s="8">
        <v>1</v>
      </c>
      <c r="R3" t="s">
        <v>634</v>
      </c>
      <c r="V3" t="s">
        <v>1726</v>
      </c>
      <c r="AA3" t="s">
        <v>563</v>
      </c>
      <c r="AB3" t="s">
        <v>1626</v>
      </c>
      <c r="AC3" t="s">
        <v>266</v>
      </c>
      <c r="AD3" t="s">
        <v>264</v>
      </c>
      <c r="AE3" t="s">
        <v>1643</v>
      </c>
      <c r="AF3" t="s">
        <v>1642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R3" t="s">
        <v>266</v>
      </c>
      <c r="BS3">
        <v>0</v>
      </c>
      <c r="BT3" s="4">
        <v>44897</v>
      </c>
      <c r="BU3" t="s">
        <v>564</v>
      </c>
      <c r="CA3">
        <v>6</v>
      </c>
      <c r="CB3" t="s">
        <v>565</v>
      </c>
      <c r="CC3">
        <v>3</v>
      </c>
      <c r="CD3">
        <v>1</v>
      </c>
      <c r="CE3">
        <v>5</v>
      </c>
      <c r="CF3">
        <v>1</v>
      </c>
      <c r="CG3">
        <v>6</v>
      </c>
      <c r="CH3">
        <v>1</v>
      </c>
      <c r="CI3">
        <v>0</v>
      </c>
      <c r="CJ3">
        <v>0</v>
      </c>
    </row>
    <row r="4" spans="1:89" x14ac:dyDescent="0.3">
      <c r="A4" t="s">
        <v>1645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1680</v>
      </c>
      <c r="T4" t="s">
        <v>1682</v>
      </c>
      <c r="V4" t="s">
        <v>1647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T4" s="4"/>
      <c r="CA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</row>
    <row r="5" spans="1:89" x14ac:dyDescent="0.3">
      <c r="A5" t="s">
        <v>1648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1727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T5" s="4"/>
      <c r="CA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</row>
    <row r="6" spans="1:89" x14ac:dyDescent="0.3">
      <c r="A6" t="s">
        <v>2382</v>
      </c>
      <c r="E6" t="s">
        <v>487</v>
      </c>
      <c r="I6" t="s">
        <v>2323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2345</v>
      </c>
      <c r="T6" t="s">
        <v>1683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2</v>
      </c>
      <c r="AW6">
        <v>2</v>
      </c>
      <c r="AX6" t="s">
        <v>266</v>
      </c>
      <c r="AY6">
        <v>5000</v>
      </c>
      <c r="AZ6" s="4">
        <v>44114</v>
      </c>
      <c r="BA6" t="s">
        <v>1932</v>
      </c>
      <c r="CA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0</v>
      </c>
      <c r="CJ6">
        <v>0</v>
      </c>
    </row>
    <row r="7" spans="1:89" x14ac:dyDescent="0.3">
      <c r="A7" t="s">
        <v>1738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1739</v>
      </c>
      <c r="T7" t="s">
        <v>1740</v>
      </c>
      <c r="V7" t="s">
        <v>1741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CA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</row>
    <row r="8" spans="1:89" x14ac:dyDescent="0.3">
      <c r="A8" t="s">
        <v>1742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1726</v>
      </c>
      <c r="AA8" t="s">
        <v>563</v>
      </c>
      <c r="AB8" t="s">
        <v>1626</v>
      </c>
      <c r="AC8" t="s">
        <v>266</v>
      </c>
      <c r="AD8" t="s">
        <v>264</v>
      </c>
      <c r="AE8" t="s">
        <v>1643</v>
      </c>
      <c r="AF8" t="s">
        <v>1642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1</v>
      </c>
      <c r="AV8">
        <v>0</v>
      </c>
      <c r="AW8">
        <v>0</v>
      </c>
      <c r="BT8" s="4"/>
      <c r="CA8">
        <v>0</v>
      </c>
      <c r="CC8">
        <v>0</v>
      </c>
      <c r="CD8">
        <v>0</v>
      </c>
      <c r="CE8">
        <v>0</v>
      </c>
      <c r="CF8">
        <v>0</v>
      </c>
      <c r="CG8">
        <v>1</v>
      </c>
      <c r="CH8">
        <v>1</v>
      </c>
      <c r="CI8">
        <v>0</v>
      </c>
      <c r="CJ8">
        <v>0</v>
      </c>
    </row>
    <row r="9" spans="1:89" x14ac:dyDescent="0.3">
      <c r="A9" t="s">
        <v>1754</v>
      </c>
      <c r="B9" t="s">
        <v>981</v>
      </c>
      <c r="C9" t="s">
        <v>980</v>
      </c>
      <c r="D9" t="s">
        <v>1937</v>
      </c>
      <c r="E9" t="s">
        <v>487</v>
      </c>
      <c r="I9" t="s">
        <v>2323</v>
      </c>
      <c r="J9" s="4">
        <v>45209</v>
      </c>
      <c r="N9" s="8">
        <v>0</v>
      </c>
      <c r="O9" s="8">
        <v>0</v>
      </c>
      <c r="Q9" t="s">
        <v>191</v>
      </c>
      <c r="R9" t="s">
        <v>1755</v>
      </c>
      <c r="T9" t="s">
        <v>1756</v>
      </c>
      <c r="V9" t="s">
        <v>1757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2</v>
      </c>
      <c r="AW9">
        <v>2</v>
      </c>
      <c r="CA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4</v>
      </c>
      <c r="CJ9">
        <v>1</v>
      </c>
      <c r="CK9">
        <v>120000</v>
      </c>
    </row>
    <row r="10" spans="1:89" x14ac:dyDescent="0.3">
      <c r="A10" t="s">
        <v>1771</v>
      </c>
      <c r="E10" t="s">
        <v>487</v>
      </c>
      <c r="I10" t="s">
        <v>2323</v>
      </c>
      <c r="J10" s="4">
        <v>45209</v>
      </c>
      <c r="N10" s="8">
        <v>0</v>
      </c>
      <c r="O10" s="8">
        <v>0</v>
      </c>
      <c r="Q10" t="s">
        <v>191</v>
      </c>
      <c r="R10" t="s">
        <v>1755</v>
      </c>
      <c r="T10" t="s">
        <v>1756</v>
      </c>
      <c r="V10" t="s">
        <v>1757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2</v>
      </c>
      <c r="AW10">
        <v>2</v>
      </c>
      <c r="CA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5</v>
      </c>
      <c r="CJ10">
        <v>1</v>
      </c>
      <c r="CK10">
        <v>122000</v>
      </c>
    </row>
    <row r="11" spans="1:89" x14ac:dyDescent="0.3">
      <c r="A11" t="s">
        <v>2146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2345</v>
      </c>
      <c r="T11" t="s">
        <v>1683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CA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</row>
    <row r="12" spans="1:89" x14ac:dyDescent="0.3">
      <c r="A12" t="s">
        <v>2146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2345</v>
      </c>
      <c r="T12" t="s">
        <v>1683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CA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</row>
    <row r="13" spans="1:89" x14ac:dyDescent="0.3">
      <c r="A13" t="s">
        <v>2146</v>
      </c>
      <c r="E13" t="s">
        <v>492</v>
      </c>
      <c r="H13" t="s">
        <v>2149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2345</v>
      </c>
      <c r="T13" t="s">
        <v>1683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CA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</row>
    <row r="14" spans="1:89" x14ac:dyDescent="0.3">
      <c r="A14" t="s">
        <v>2146</v>
      </c>
      <c r="E14" t="s">
        <v>2147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2345</v>
      </c>
      <c r="T14" t="s">
        <v>1683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CA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</row>
    <row r="15" spans="1:89" x14ac:dyDescent="0.3">
      <c r="A15" t="s">
        <v>2146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2345</v>
      </c>
      <c r="T15" t="s">
        <v>1683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CA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</row>
    <row r="16" spans="1:89" x14ac:dyDescent="0.3">
      <c r="A16" t="s">
        <v>2146</v>
      </c>
      <c r="E16" t="s">
        <v>2148</v>
      </c>
      <c r="F16" s="4">
        <v>45750</v>
      </c>
      <c r="G16" t="s">
        <v>2149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2345</v>
      </c>
      <c r="T16" t="s">
        <v>1683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CA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</row>
    <row r="17" spans="1:89" x14ac:dyDescent="0.3">
      <c r="A17" t="s">
        <v>2146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2345</v>
      </c>
      <c r="T17" t="s">
        <v>1683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CA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</row>
    <row r="18" spans="1:89" x14ac:dyDescent="0.3">
      <c r="A18" t="s">
        <v>2146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2345</v>
      </c>
      <c r="T18" t="s">
        <v>1683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CA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</row>
    <row r="19" spans="1:89" x14ac:dyDescent="0.3">
      <c r="A19" t="s">
        <v>2355</v>
      </c>
      <c r="B19" t="s">
        <v>981</v>
      </c>
      <c r="C19" t="s">
        <v>980</v>
      </c>
      <c r="D19" t="s">
        <v>1937</v>
      </c>
      <c r="E19" t="s">
        <v>487</v>
      </c>
      <c r="I19" t="s">
        <v>2323</v>
      </c>
      <c r="J19" s="4">
        <v>45209</v>
      </c>
      <c r="N19" s="8">
        <v>0</v>
      </c>
      <c r="O19" s="8">
        <v>0</v>
      </c>
      <c r="Q19" t="s">
        <v>191</v>
      </c>
      <c r="R19" t="s">
        <v>1755</v>
      </c>
      <c r="T19" t="s">
        <v>1756</v>
      </c>
      <c r="V19" t="s">
        <v>1757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2</v>
      </c>
      <c r="CA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  <c r="CJ19">
        <v>1</v>
      </c>
      <c r="CK19">
        <v>120000</v>
      </c>
    </row>
    <row r="20" spans="1:89" x14ac:dyDescent="0.3">
      <c r="A20" t="s">
        <v>2356</v>
      </c>
      <c r="E20" t="s">
        <v>487</v>
      </c>
      <c r="I20" t="s">
        <v>2323</v>
      </c>
      <c r="N20" s="8">
        <v>0</v>
      </c>
      <c r="O20" s="8">
        <v>0</v>
      </c>
      <c r="Q20" t="s">
        <v>191</v>
      </c>
      <c r="R20" t="s">
        <v>1755</v>
      </c>
      <c r="T20" t="s">
        <v>1756</v>
      </c>
      <c r="V20" t="s">
        <v>1757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CA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</row>
    <row r="21" spans="1:89" x14ac:dyDescent="0.3">
      <c r="A21" t="s">
        <v>2370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1755</v>
      </c>
      <c r="T21" t="s">
        <v>1681</v>
      </c>
      <c r="V21" t="s">
        <v>1757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Z21" s="4"/>
      <c r="BD21" s="4"/>
      <c r="BH21" s="4"/>
      <c r="BL21" s="4"/>
      <c r="BP21" s="4"/>
      <c r="BT21" s="4"/>
      <c r="BY21" s="4"/>
      <c r="CA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</row>
    <row r="22" spans="1:89" x14ac:dyDescent="0.3">
      <c r="A22" t="s">
        <v>2375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1755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T22" s="4"/>
      <c r="CA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</row>
    <row r="23" spans="1:89" x14ac:dyDescent="0.3">
      <c r="A23" t="s">
        <v>2371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1755</v>
      </c>
      <c r="T23" t="s">
        <v>1681</v>
      </c>
      <c r="V23" t="s">
        <v>1757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Z23" s="4"/>
      <c r="BD23" s="4"/>
      <c r="BH23" s="4"/>
      <c r="BL23" s="4"/>
      <c r="BP23" s="4"/>
      <c r="BT23" s="4"/>
      <c r="BY23" s="4"/>
      <c r="CA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</row>
    <row r="24" spans="1:89" x14ac:dyDescent="0.3">
      <c r="A24" t="s">
        <v>2372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1755</v>
      </c>
      <c r="T24" t="s">
        <v>1681</v>
      </c>
      <c r="V24" t="s">
        <v>1757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Z24" s="4"/>
      <c r="BD24" s="4"/>
      <c r="BH24" s="4"/>
      <c r="BL24" s="4"/>
      <c r="BP24" s="4"/>
      <c r="BT24" s="4"/>
      <c r="BY24" s="4"/>
      <c r="CA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</row>
    <row r="25" spans="1:89" x14ac:dyDescent="0.3">
      <c r="A25" t="s">
        <v>2376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1755</v>
      </c>
      <c r="V25" t="s">
        <v>1726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T25" s="4"/>
      <c r="CA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</row>
    <row r="26" spans="1:89" x14ac:dyDescent="0.3">
      <c r="A26" t="s">
        <v>2373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1755</v>
      </c>
      <c r="T26" t="s">
        <v>1681</v>
      </c>
      <c r="V26" t="s">
        <v>1757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t="s">
        <v>264</v>
      </c>
      <c r="AY26">
        <v>100000</v>
      </c>
      <c r="AZ26" s="4">
        <v>44449</v>
      </c>
      <c r="BA26" t="s">
        <v>1528</v>
      </c>
      <c r="BB26" t="s">
        <v>266</v>
      </c>
      <c r="BC26">
        <v>25000</v>
      </c>
      <c r="BD26" s="4">
        <v>46003</v>
      </c>
      <c r="BE26" t="s">
        <v>556</v>
      </c>
      <c r="BF26" t="s">
        <v>295</v>
      </c>
      <c r="BG26">
        <v>205000</v>
      </c>
      <c r="BH26" s="4">
        <v>46368</v>
      </c>
      <c r="BI26" t="s">
        <v>557</v>
      </c>
      <c r="BJ26" t="s">
        <v>264</v>
      </c>
      <c r="BK26">
        <v>125000</v>
      </c>
      <c r="BL26" s="4">
        <v>46733</v>
      </c>
      <c r="BM26" t="s">
        <v>558</v>
      </c>
      <c r="BN26" t="s">
        <v>266</v>
      </c>
      <c r="BO26">
        <v>1290</v>
      </c>
      <c r="BP26" s="4">
        <v>47828</v>
      </c>
      <c r="BQ26" t="s">
        <v>1527</v>
      </c>
      <c r="BR26" t="s">
        <v>295</v>
      </c>
      <c r="BS26">
        <v>11000</v>
      </c>
      <c r="BT26" s="4">
        <v>45272</v>
      </c>
      <c r="BU26" t="s">
        <v>559</v>
      </c>
      <c r="BV26" t="s">
        <v>560</v>
      </c>
      <c r="BW26" t="s">
        <v>264</v>
      </c>
      <c r="BX26">
        <v>100000</v>
      </c>
      <c r="BY26" s="4">
        <v>45729</v>
      </c>
      <c r="BZ26" t="s">
        <v>561</v>
      </c>
      <c r="CA26">
        <v>7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</row>
    <row r="27" spans="1:89" x14ac:dyDescent="0.3">
      <c r="A27" t="s">
        <v>2377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1755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R27" t="s">
        <v>266</v>
      </c>
      <c r="BS27">
        <v>0</v>
      </c>
      <c r="BT27" s="4">
        <v>44897</v>
      </c>
      <c r="BU27" t="s">
        <v>564</v>
      </c>
      <c r="CA27">
        <v>6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</row>
    <row r="28" spans="1:89" x14ac:dyDescent="0.3">
      <c r="A28" t="s">
        <v>2374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1755</v>
      </c>
      <c r="T28" t="s">
        <v>1681</v>
      </c>
      <c r="V28" t="s">
        <v>1757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Z28" s="4"/>
      <c r="BD28" s="4"/>
      <c r="BH28" s="4"/>
      <c r="BL28" s="4"/>
      <c r="BP28" s="4"/>
      <c r="BT28" s="4"/>
      <c r="BY28" s="4"/>
      <c r="CA28">
        <v>0</v>
      </c>
      <c r="CB28" t="s">
        <v>562</v>
      </c>
      <c r="CC28">
        <v>1</v>
      </c>
      <c r="CD28">
        <v>2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</row>
    <row r="29" spans="1:89" x14ac:dyDescent="0.3">
      <c r="A29" t="s">
        <v>2378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1755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T29" s="4"/>
      <c r="CA29">
        <v>0</v>
      </c>
      <c r="CB29" t="s">
        <v>565</v>
      </c>
      <c r="CC29">
        <v>3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</row>
    <row r="30" spans="1:89" x14ac:dyDescent="0.3">
      <c r="A30" t="s">
        <v>2379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1681</v>
      </c>
      <c r="V30" t="s">
        <v>1726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Z30" s="4"/>
      <c r="BD30" s="4"/>
      <c r="BH30" s="4"/>
      <c r="BL30" s="4"/>
      <c r="BP30" s="4"/>
      <c r="BT30" s="4"/>
      <c r="BY30" s="4"/>
      <c r="CA30">
        <v>0</v>
      </c>
      <c r="CC30">
        <v>0</v>
      </c>
      <c r="CD30">
        <v>0</v>
      </c>
      <c r="CE30">
        <v>1</v>
      </c>
      <c r="CF30">
        <v>4</v>
      </c>
      <c r="CG30">
        <v>1</v>
      </c>
      <c r="CH30">
        <v>5</v>
      </c>
      <c r="CI30">
        <v>0</v>
      </c>
      <c r="CJ30">
        <v>0</v>
      </c>
    </row>
    <row r="31" spans="1:89" x14ac:dyDescent="0.3">
      <c r="A31" t="s">
        <v>2380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T31" s="4"/>
      <c r="CA31">
        <v>0</v>
      </c>
      <c r="CC31">
        <v>0</v>
      </c>
      <c r="CD31">
        <v>0</v>
      </c>
      <c r="CE31">
        <v>5</v>
      </c>
      <c r="CF31">
        <v>1</v>
      </c>
      <c r="CG31">
        <v>6</v>
      </c>
      <c r="CH31">
        <v>1</v>
      </c>
      <c r="CI31">
        <v>0</v>
      </c>
      <c r="CJ31">
        <v>0</v>
      </c>
    </row>
    <row r="32" spans="1:89" x14ac:dyDescent="0.3">
      <c r="A32" t="s">
        <v>2381</v>
      </c>
      <c r="N32" s="8">
        <v>0</v>
      </c>
      <c r="O32" s="8">
        <v>0</v>
      </c>
      <c r="R32" t="s">
        <v>2345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3</v>
      </c>
      <c r="AW32">
        <v>0</v>
      </c>
      <c r="CA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</row>
    <row r="33" spans="1:88" x14ac:dyDescent="0.3">
      <c r="A33" t="s">
        <v>566</v>
      </c>
      <c r="E33" t="s">
        <v>487</v>
      </c>
      <c r="I33" t="s">
        <v>2323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2345</v>
      </c>
      <c r="T33" t="s">
        <v>1683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Z33" s="4"/>
      <c r="CA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</row>
    <row r="34" spans="1:88" x14ac:dyDescent="0.3">
      <c r="A34" t="s">
        <v>2383</v>
      </c>
      <c r="E34" t="s">
        <v>487</v>
      </c>
      <c r="I34" t="s">
        <v>2323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1739</v>
      </c>
      <c r="T34" t="s">
        <v>1683</v>
      </c>
      <c r="V34" t="s">
        <v>1726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CA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1631</v>
      </c>
      <c r="C1" s="3" t="s">
        <v>1621</v>
      </c>
      <c r="D1" s="3" t="s">
        <v>1622</v>
      </c>
      <c r="E1" s="3" t="s">
        <v>1623</v>
      </c>
    </row>
    <row r="2" spans="1:5" x14ac:dyDescent="0.3">
      <c r="A2" t="s">
        <v>1629</v>
      </c>
      <c r="B2" t="s">
        <v>264</v>
      </c>
      <c r="C2" s="4">
        <v>45374</v>
      </c>
      <c r="D2" s="4">
        <v>45412</v>
      </c>
      <c r="E2" t="s">
        <v>1632</v>
      </c>
    </row>
    <row r="3" spans="1:5" x14ac:dyDescent="0.3">
      <c r="A3" t="s">
        <v>1629</v>
      </c>
      <c r="B3" t="s">
        <v>264</v>
      </c>
      <c r="C3" s="4">
        <v>45413</v>
      </c>
      <c r="D3" s="4">
        <v>45778</v>
      </c>
      <c r="E3" t="s">
        <v>1633</v>
      </c>
    </row>
    <row r="4" spans="1:5" x14ac:dyDescent="0.3">
      <c r="A4" t="s">
        <v>1629</v>
      </c>
      <c r="B4" t="s">
        <v>266</v>
      </c>
      <c r="C4" s="4">
        <v>45779</v>
      </c>
      <c r="D4" s="4">
        <v>49431</v>
      </c>
      <c r="E4" t="s">
        <v>1634</v>
      </c>
    </row>
    <row r="5" spans="1:5" x14ac:dyDescent="0.3">
      <c r="A5" t="s">
        <v>1630</v>
      </c>
      <c r="B5" t="s">
        <v>264</v>
      </c>
      <c r="C5" s="4">
        <v>45381</v>
      </c>
      <c r="D5" s="4">
        <v>45412</v>
      </c>
      <c r="E5" t="s">
        <v>1635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1649</v>
      </c>
      <c r="C1" s="3" t="s">
        <v>1658</v>
      </c>
      <c r="D1" s="3" t="s">
        <v>1650</v>
      </c>
      <c r="E1" s="3" t="s">
        <v>1651</v>
      </c>
      <c r="F1" s="3" t="s">
        <v>1652</v>
      </c>
      <c r="G1" s="3" t="s">
        <v>1653</v>
      </c>
      <c r="H1" s="3" t="s">
        <v>1654</v>
      </c>
      <c r="I1" s="3" t="s">
        <v>1655</v>
      </c>
      <c r="J1" s="3" t="s">
        <v>1656</v>
      </c>
      <c r="K1" s="3" t="s">
        <v>1657</v>
      </c>
    </row>
    <row r="2" spans="1:11" x14ac:dyDescent="0.3">
      <c r="A2" t="s">
        <v>1442</v>
      </c>
      <c r="B2" t="s">
        <v>1578</v>
      </c>
      <c r="C2" t="s">
        <v>1675</v>
      </c>
      <c r="D2" t="s">
        <v>1713</v>
      </c>
      <c r="E2">
        <v>500</v>
      </c>
      <c r="F2" t="s">
        <v>1659</v>
      </c>
      <c r="I2" t="s">
        <v>1660</v>
      </c>
      <c r="J2" t="s">
        <v>1661</v>
      </c>
      <c r="K2" t="s">
        <v>1662</v>
      </c>
    </row>
    <row r="3" spans="1:11" x14ac:dyDescent="0.3">
      <c r="A3" t="s">
        <v>1442</v>
      </c>
      <c r="B3" t="s">
        <v>1663</v>
      </c>
      <c r="C3" s="14" t="s">
        <v>1676</v>
      </c>
      <c r="D3" t="s">
        <v>1714</v>
      </c>
      <c r="E3">
        <v>25</v>
      </c>
      <c r="F3" t="s">
        <v>1664</v>
      </c>
      <c r="G3" t="s">
        <v>1665</v>
      </c>
      <c r="H3" t="s">
        <v>1666</v>
      </c>
      <c r="I3" t="s">
        <v>1667</v>
      </c>
      <c r="K3" t="s">
        <v>1668</v>
      </c>
    </row>
    <row r="4" spans="1:11" x14ac:dyDescent="0.3">
      <c r="A4" t="s">
        <v>1442</v>
      </c>
      <c r="B4" t="s">
        <v>1669</v>
      </c>
      <c r="C4" t="s">
        <v>1677</v>
      </c>
      <c r="F4" t="s">
        <v>1670</v>
      </c>
      <c r="I4" t="s">
        <v>1671</v>
      </c>
      <c r="J4" t="s">
        <v>1672</v>
      </c>
      <c r="K4" t="s">
        <v>1673</v>
      </c>
    </row>
    <row r="5" spans="1:11" x14ac:dyDescent="0.3">
      <c r="A5" t="s">
        <v>1442</v>
      </c>
      <c r="K5" t="s">
        <v>1732</v>
      </c>
    </row>
    <row r="6" spans="1:11" x14ac:dyDescent="0.3">
      <c r="A6" t="s">
        <v>1442</v>
      </c>
      <c r="B6" t="s">
        <v>1674</v>
      </c>
      <c r="K6" t="s">
        <v>1825</v>
      </c>
    </row>
    <row r="7" spans="1:11" x14ac:dyDescent="0.3">
      <c r="A7" t="s">
        <v>1443</v>
      </c>
      <c r="B7" t="s">
        <v>1578</v>
      </c>
      <c r="D7" t="s">
        <v>1712</v>
      </c>
      <c r="E7">
        <v>900</v>
      </c>
      <c r="F7" t="s">
        <v>1659</v>
      </c>
      <c r="I7" t="s">
        <v>1660</v>
      </c>
      <c r="J7" t="s">
        <v>1661</v>
      </c>
      <c r="K7" t="s">
        <v>1662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1776</v>
      </c>
      <c r="C1" s="3" t="s">
        <v>1796</v>
      </c>
      <c r="D1" s="3" t="s">
        <v>1777</v>
      </c>
      <c r="E1" s="3" t="s">
        <v>1778</v>
      </c>
      <c r="F1" s="3" t="s">
        <v>1779</v>
      </c>
      <c r="G1" s="3" t="s">
        <v>1780</v>
      </c>
      <c r="H1" s="3" t="s">
        <v>1781</v>
      </c>
      <c r="I1" s="3" t="s">
        <v>1782</v>
      </c>
      <c r="J1" s="3" t="s">
        <v>1783</v>
      </c>
      <c r="K1" s="3" t="s">
        <v>1784</v>
      </c>
    </row>
    <row r="2" spans="1:11" x14ac:dyDescent="0.3">
      <c r="A2" t="s">
        <v>1785</v>
      </c>
      <c r="B2" t="s">
        <v>519</v>
      </c>
      <c r="D2" s="4">
        <v>45543</v>
      </c>
      <c r="E2" t="s">
        <v>570</v>
      </c>
      <c r="F2" t="s">
        <v>1799</v>
      </c>
      <c r="H2" t="s">
        <v>264</v>
      </c>
      <c r="I2" s="4">
        <v>45565</v>
      </c>
      <c r="J2" t="s">
        <v>1004</v>
      </c>
      <c r="K2" t="s">
        <v>1810</v>
      </c>
    </row>
    <row r="3" spans="1:11" x14ac:dyDescent="0.3">
      <c r="A3" t="s">
        <v>1786</v>
      </c>
      <c r="B3" t="s">
        <v>1793</v>
      </c>
      <c r="D3" s="4">
        <v>45544</v>
      </c>
      <c r="E3" t="s">
        <v>570</v>
      </c>
      <c r="F3" t="s">
        <v>1800</v>
      </c>
      <c r="H3" t="s">
        <v>266</v>
      </c>
      <c r="I3" s="4"/>
      <c r="J3" t="s">
        <v>1806</v>
      </c>
      <c r="K3" t="s">
        <v>1813</v>
      </c>
    </row>
    <row r="4" spans="1:11" x14ac:dyDescent="0.3">
      <c r="A4" t="s">
        <v>1787</v>
      </c>
      <c r="B4" t="s">
        <v>1794</v>
      </c>
      <c r="D4" s="4">
        <v>45545</v>
      </c>
      <c r="E4" t="s">
        <v>3</v>
      </c>
      <c r="F4" t="s">
        <v>1804</v>
      </c>
      <c r="H4" t="s">
        <v>264</v>
      </c>
      <c r="I4" s="4">
        <v>45563</v>
      </c>
      <c r="J4" t="s">
        <v>1807</v>
      </c>
      <c r="K4" t="s">
        <v>1815</v>
      </c>
    </row>
    <row r="5" spans="1:11" x14ac:dyDescent="0.3">
      <c r="A5" t="s">
        <v>1788</v>
      </c>
      <c r="B5" t="s">
        <v>1819</v>
      </c>
      <c r="D5" s="4">
        <v>45546</v>
      </c>
      <c r="E5" t="s">
        <v>3</v>
      </c>
      <c r="F5" t="s">
        <v>1805</v>
      </c>
      <c r="H5" t="s">
        <v>264</v>
      </c>
      <c r="I5" s="4">
        <v>45562</v>
      </c>
      <c r="J5" t="s">
        <v>1808</v>
      </c>
      <c r="K5" t="s">
        <v>1811</v>
      </c>
    </row>
    <row r="6" spans="1:11" x14ac:dyDescent="0.3">
      <c r="A6" t="s">
        <v>1789</v>
      </c>
      <c r="B6" t="s">
        <v>1820</v>
      </c>
      <c r="D6" s="4">
        <v>45547</v>
      </c>
      <c r="E6" t="s">
        <v>570</v>
      </c>
      <c r="F6" t="s">
        <v>1801</v>
      </c>
      <c r="H6" t="s">
        <v>266</v>
      </c>
      <c r="I6" s="4"/>
      <c r="J6" t="s">
        <v>1809</v>
      </c>
      <c r="K6" t="s">
        <v>1816</v>
      </c>
    </row>
    <row r="7" spans="1:11" x14ac:dyDescent="0.3">
      <c r="A7" t="s">
        <v>1790</v>
      </c>
      <c r="B7" t="s">
        <v>1823</v>
      </c>
      <c r="D7" s="4">
        <v>45548</v>
      </c>
      <c r="E7" t="s">
        <v>570</v>
      </c>
      <c r="F7" t="s">
        <v>1802</v>
      </c>
      <c r="H7" t="s">
        <v>264</v>
      </c>
      <c r="I7" s="4">
        <v>45560</v>
      </c>
      <c r="J7" t="s">
        <v>1004</v>
      </c>
      <c r="K7" t="s">
        <v>1817</v>
      </c>
    </row>
    <row r="8" spans="1:11" x14ac:dyDescent="0.3">
      <c r="A8" t="s">
        <v>1791</v>
      </c>
      <c r="B8" t="s">
        <v>1795</v>
      </c>
      <c r="D8" s="4">
        <v>45549</v>
      </c>
      <c r="E8" t="s">
        <v>3</v>
      </c>
      <c r="F8" t="s">
        <v>1177</v>
      </c>
      <c r="G8" t="s">
        <v>661</v>
      </c>
      <c r="H8" t="s">
        <v>264</v>
      </c>
      <c r="I8" s="4">
        <v>45559</v>
      </c>
      <c r="J8" t="s">
        <v>1806</v>
      </c>
      <c r="K8" t="s">
        <v>1812</v>
      </c>
    </row>
    <row r="9" spans="1:11" x14ac:dyDescent="0.3">
      <c r="A9" t="s">
        <v>1792</v>
      </c>
      <c r="B9" t="s">
        <v>7</v>
      </c>
      <c r="C9" t="s">
        <v>1797</v>
      </c>
      <c r="D9" s="4">
        <v>45550</v>
      </c>
      <c r="E9" t="s">
        <v>3</v>
      </c>
      <c r="F9" t="s">
        <v>1284</v>
      </c>
      <c r="G9" t="s">
        <v>1285</v>
      </c>
      <c r="H9" t="s">
        <v>266</v>
      </c>
      <c r="I9" s="4"/>
      <c r="J9" t="s">
        <v>1807</v>
      </c>
      <c r="K9" t="s">
        <v>1814</v>
      </c>
    </row>
    <row r="10" spans="1:11" x14ac:dyDescent="0.3">
      <c r="A10" t="s">
        <v>1798</v>
      </c>
      <c r="B10" t="s">
        <v>1793</v>
      </c>
      <c r="D10" s="4">
        <v>45551</v>
      </c>
      <c r="E10" t="s">
        <v>570</v>
      </c>
      <c r="F10" t="s">
        <v>1803</v>
      </c>
      <c r="H10" t="s">
        <v>264</v>
      </c>
      <c r="I10" s="4">
        <v>45557</v>
      </c>
      <c r="J10" t="s">
        <v>1808</v>
      </c>
      <c r="K10" t="s">
        <v>1818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1996</v>
      </c>
      <c r="C1" s="3" t="s">
        <v>1997</v>
      </c>
      <c r="D1" s="3" t="s">
        <v>1998</v>
      </c>
      <c r="E1" s="3" t="s">
        <v>1999</v>
      </c>
      <c r="F1" s="3" t="s">
        <v>2000</v>
      </c>
      <c r="G1" s="3" t="s">
        <v>2001</v>
      </c>
      <c r="H1" s="3" t="s">
        <v>2002</v>
      </c>
      <c r="I1" s="3" t="s">
        <v>2003</v>
      </c>
      <c r="J1" s="3" t="s">
        <v>2004</v>
      </c>
      <c r="K1" s="3" t="s">
        <v>2005</v>
      </c>
      <c r="L1" s="3" t="s">
        <v>2006</v>
      </c>
      <c r="M1" s="3" t="s">
        <v>2007</v>
      </c>
      <c r="N1" s="3" t="s">
        <v>2008</v>
      </c>
      <c r="O1" s="3" t="s">
        <v>2009</v>
      </c>
      <c r="P1" s="3" t="s">
        <v>2010</v>
      </c>
      <c r="Q1" s="3" t="s">
        <v>2011</v>
      </c>
      <c r="R1" s="3" t="s">
        <v>2012</v>
      </c>
      <c r="S1" s="3" t="s">
        <v>2013</v>
      </c>
      <c r="T1" s="3" t="s">
        <v>2014</v>
      </c>
      <c r="U1" s="3" t="s">
        <v>2015</v>
      </c>
      <c r="V1" s="3" t="s">
        <v>2016</v>
      </c>
      <c r="W1" s="3" t="s">
        <v>2017</v>
      </c>
      <c r="X1" s="3" t="s">
        <v>2018</v>
      </c>
      <c r="Y1" s="3" t="s">
        <v>2019</v>
      </c>
      <c r="Z1" s="3" t="s">
        <v>2020</v>
      </c>
      <c r="AA1" s="3" t="s">
        <v>2021</v>
      </c>
      <c r="AB1" s="3" t="s">
        <v>2022</v>
      </c>
      <c r="AC1" s="3" t="s">
        <v>2023</v>
      </c>
      <c r="AD1" s="3" t="s">
        <v>1594</v>
      </c>
      <c r="AE1" s="3" t="s">
        <v>1595</v>
      </c>
    </row>
    <row r="2" spans="1:31" x14ac:dyDescent="0.3">
      <c r="A2" t="s">
        <v>1592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1593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1935</v>
      </c>
      <c r="E1" s="3" t="s">
        <v>569</v>
      </c>
    </row>
    <row r="2" spans="1:5" x14ac:dyDescent="0.3">
      <c r="A2" t="s">
        <v>1735</v>
      </c>
      <c r="B2" t="s">
        <v>3</v>
      </c>
      <c r="C2" t="s">
        <v>1992</v>
      </c>
      <c r="D2" t="s">
        <v>580</v>
      </c>
      <c r="E2" t="s">
        <v>1733</v>
      </c>
    </row>
    <row r="3" spans="1:5" x14ac:dyDescent="0.3">
      <c r="A3" t="s">
        <v>1735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1735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1735</v>
      </c>
      <c r="B5" t="s">
        <v>3</v>
      </c>
      <c r="C5" t="s">
        <v>576</v>
      </c>
      <c r="D5" t="s">
        <v>577</v>
      </c>
      <c r="E5" t="s">
        <v>1733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1734</v>
      </c>
      <c r="B8" t="s">
        <v>570</v>
      </c>
      <c r="C8" t="s">
        <v>759</v>
      </c>
      <c r="D8" t="s">
        <v>572</v>
      </c>
      <c r="E8" t="s">
        <v>1745</v>
      </c>
    </row>
    <row r="9" spans="1:5" x14ac:dyDescent="0.3">
      <c r="A9" t="s">
        <v>1734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1734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1734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1734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1743</v>
      </c>
      <c r="B13" t="s">
        <v>570</v>
      </c>
      <c r="C13" t="s">
        <v>759</v>
      </c>
      <c r="D13" t="s">
        <v>572</v>
      </c>
      <c r="E13" t="s">
        <v>295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1419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1684</v>
      </c>
      <c r="C1" s="3" t="s">
        <v>1685</v>
      </c>
      <c r="D1" s="3" t="s">
        <v>1686</v>
      </c>
      <c r="E1" s="3" t="s">
        <v>1687</v>
      </c>
      <c r="F1" s="3" t="s">
        <v>1688</v>
      </c>
      <c r="G1" s="3" t="s">
        <v>1689</v>
      </c>
      <c r="H1" s="3" t="s">
        <v>1690</v>
      </c>
      <c r="I1" s="3" t="s">
        <v>1692</v>
      </c>
      <c r="J1" s="3" t="s">
        <v>1691</v>
      </c>
      <c r="K1" s="3" t="s">
        <v>1716</v>
      </c>
      <c r="L1" s="3" t="s">
        <v>1717</v>
      </c>
      <c r="M1" s="3" t="s">
        <v>1693</v>
      </c>
      <c r="N1" s="3" t="s">
        <v>1694</v>
      </c>
      <c r="O1" s="3" t="s">
        <v>1695</v>
      </c>
      <c r="P1" s="3" t="s">
        <v>1718</v>
      </c>
      <c r="Q1" s="3" t="s">
        <v>1719</v>
      </c>
      <c r="R1" s="3" t="s">
        <v>1696</v>
      </c>
      <c r="S1" s="3" t="s">
        <v>1697</v>
      </c>
      <c r="T1" s="3" t="s">
        <v>1698</v>
      </c>
      <c r="U1" s="3" t="s">
        <v>1720</v>
      </c>
      <c r="V1" s="3" t="s">
        <v>1721</v>
      </c>
    </row>
    <row r="2" spans="1:22" x14ac:dyDescent="0.3">
      <c r="A2" t="s">
        <v>549</v>
      </c>
      <c r="B2" t="s">
        <v>1706</v>
      </c>
      <c r="C2" t="s">
        <v>1707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1746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1747</v>
      </c>
      <c r="P2" s="16"/>
      <c r="Q2" s="17">
        <f>SUM(P2+N2)</f>
        <v>1500.5</v>
      </c>
      <c r="R2" t="s">
        <v>612</v>
      </c>
      <c r="S2" s="17">
        <v>200.79</v>
      </c>
      <c r="T2" s="16" t="s">
        <v>1746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1706</v>
      </c>
      <c r="C3" t="s">
        <v>1708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1747</v>
      </c>
      <c r="K3" s="17"/>
      <c r="L3" s="17">
        <f t="shared" ref="L3:L6" si="0">SUM(I3+K3)</f>
        <v>3500</v>
      </c>
      <c r="M3" t="s">
        <v>1710</v>
      </c>
      <c r="N3" s="6">
        <v>1500.99</v>
      </c>
      <c r="O3" s="16" t="s">
        <v>1747</v>
      </c>
      <c r="P3" s="16"/>
      <c r="Q3" s="17">
        <f t="shared" ref="Q3:Q6" si="1">SUM(P3+N3)</f>
        <v>1500.99</v>
      </c>
      <c r="S3" s="6"/>
      <c r="T3" t="s">
        <v>1747</v>
      </c>
      <c r="U3" s="6"/>
      <c r="V3" s="6"/>
    </row>
    <row r="4" spans="1:22" x14ac:dyDescent="0.3">
      <c r="A4" t="s">
        <v>549</v>
      </c>
      <c r="B4" t="s">
        <v>1709</v>
      </c>
      <c r="C4" t="s">
        <v>1707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1747</v>
      </c>
      <c r="K4" s="17"/>
      <c r="L4" s="17">
        <f t="shared" si="0"/>
        <v>3000</v>
      </c>
      <c r="N4" s="6"/>
      <c r="O4" t="s">
        <v>1747</v>
      </c>
      <c r="P4" s="16"/>
      <c r="Q4" s="17"/>
      <c r="S4" s="6"/>
      <c r="T4" t="s">
        <v>1747</v>
      </c>
      <c r="U4" s="6"/>
      <c r="V4" s="6"/>
    </row>
    <row r="5" spans="1:22" x14ac:dyDescent="0.3">
      <c r="A5" t="s">
        <v>549</v>
      </c>
      <c r="B5" t="s">
        <v>1709</v>
      </c>
      <c r="C5" t="s">
        <v>1708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1746</v>
      </c>
      <c r="K5" s="17">
        <f t="shared" ref="K5" si="2">I5*0.05</f>
        <v>6000</v>
      </c>
      <c r="L5" s="17">
        <f t="shared" si="0"/>
        <v>126000</v>
      </c>
      <c r="N5" s="6"/>
      <c r="O5" t="s">
        <v>1747</v>
      </c>
      <c r="P5" s="16"/>
      <c r="Q5" s="17"/>
      <c r="S5" s="6"/>
      <c r="T5" t="s">
        <v>1747</v>
      </c>
      <c r="U5" s="6"/>
      <c r="V5" s="6"/>
    </row>
    <row r="6" spans="1:22" x14ac:dyDescent="0.3">
      <c r="A6" t="s">
        <v>611</v>
      </c>
      <c r="B6" t="s">
        <v>1706</v>
      </c>
      <c r="C6" t="s">
        <v>1707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1747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1746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1746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1701</v>
      </c>
      <c r="E1" s="3" t="s">
        <v>616</v>
      </c>
      <c r="F1" s="3" t="s">
        <v>617</v>
      </c>
      <c r="G1" s="3" t="s">
        <v>1725</v>
      </c>
      <c r="H1" s="3" t="s">
        <v>604</v>
      </c>
      <c r="I1" s="3" t="s">
        <v>618</v>
      </c>
      <c r="J1" s="3" t="s">
        <v>1702</v>
      </c>
      <c r="K1" s="3" t="s">
        <v>1703</v>
      </c>
    </row>
    <row r="2" spans="1:11" x14ac:dyDescent="0.3">
      <c r="A2" t="s">
        <v>619</v>
      </c>
      <c r="B2" s="4">
        <v>44616</v>
      </c>
      <c r="C2" t="s">
        <v>620</v>
      </c>
      <c r="D2" t="s">
        <v>1723</v>
      </c>
      <c r="E2" s="6">
        <v>1500.5</v>
      </c>
      <c r="F2" s="6">
        <v>1500.5</v>
      </c>
      <c r="G2" s="17" t="s">
        <v>1019</v>
      </c>
      <c r="H2" s="6">
        <v>0</v>
      </c>
      <c r="I2" t="s">
        <v>621</v>
      </c>
      <c r="J2">
        <v>1</v>
      </c>
      <c r="K2" t="s">
        <v>1706</v>
      </c>
    </row>
    <row r="3" spans="1:11" x14ac:dyDescent="0.3">
      <c r="A3" t="s">
        <v>619</v>
      </c>
      <c r="B3" s="4">
        <v>44642</v>
      </c>
      <c r="C3" t="s">
        <v>622</v>
      </c>
      <c r="D3" t="s">
        <v>1724</v>
      </c>
      <c r="E3" s="6">
        <v>200.79</v>
      </c>
      <c r="F3" s="6">
        <v>191.23</v>
      </c>
      <c r="G3" s="17" t="s">
        <v>1020</v>
      </c>
      <c r="H3" s="6">
        <v>9.56</v>
      </c>
      <c r="I3" t="s">
        <v>623</v>
      </c>
      <c r="J3">
        <v>1</v>
      </c>
      <c r="K3" t="s">
        <v>1706</v>
      </c>
    </row>
    <row r="4" spans="1:11" x14ac:dyDescent="0.3">
      <c r="A4" t="s">
        <v>619</v>
      </c>
      <c r="B4" s="4">
        <v>44722</v>
      </c>
      <c r="C4" t="s">
        <v>625</v>
      </c>
      <c r="D4" t="s">
        <v>1723</v>
      </c>
      <c r="E4" s="6">
        <v>3000</v>
      </c>
      <c r="F4" s="6">
        <v>3000</v>
      </c>
      <c r="G4" s="17" t="s">
        <v>1019</v>
      </c>
      <c r="H4" s="6">
        <v>0</v>
      </c>
      <c r="I4" t="s">
        <v>631</v>
      </c>
      <c r="J4">
        <v>2</v>
      </c>
      <c r="K4" t="s">
        <v>1706</v>
      </c>
    </row>
    <row r="5" spans="1:11" x14ac:dyDescent="0.3">
      <c r="A5" t="s">
        <v>619</v>
      </c>
      <c r="B5" s="4">
        <v>44762</v>
      </c>
      <c r="C5" t="s">
        <v>626</v>
      </c>
      <c r="D5" t="s">
        <v>1722</v>
      </c>
      <c r="E5" s="6">
        <v>13</v>
      </c>
      <c r="F5" s="6">
        <v>13</v>
      </c>
      <c r="G5" s="17" t="s">
        <v>1019</v>
      </c>
      <c r="H5" s="6">
        <v>0</v>
      </c>
      <c r="I5" t="s">
        <v>623</v>
      </c>
      <c r="J5">
        <v>3</v>
      </c>
      <c r="K5" t="s">
        <v>1709</v>
      </c>
    </row>
    <row r="6" spans="1:11" x14ac:dyDescent="0.3">
      <c r="A6" t="s">
        <v>619</v>
      </c>
      <c r="B6" s="4">
        <v>44763</v>
      </c>
      <c r="C6" t="s">
        <v>7</v>
      </c>
      <c r="D6" t="s">
        <v>1722</v>
      </c>
      <c r="E6" s="6">
        <v>126000</v>
      </c>
      <c r="F6" s="6">
        <v>126000</v>
      </c>
      <c r="G6" s="17" t="s">
        <v>1019</v>
      </c>
      <c r="H6" s="6">
        <v>0</v>
      </c>
      <c r="I6" t="s">
        <v>631</v>
      </c>
      <c r="J6">
        <v>3</v>
      </c>
      <c r="K6" t="s">
        <v>1709</v>
      </c>
    </row>
    <row r="7" spans="1:11" x14ac:dyDescent="0.3">
      <c r="A7" t="s">
        <v>624</v>
      </c>
      <c r="B7" s="4">
        <v>44635</v>
      </c>
      <c r="C7" t="s">
        <v>633</v>
      </c>
      <c r="D7" t="s">
        <v>1723</v>
      </c>
      <c r="E7" s="6">
        <v>3000</v>
      </c>
      <c r="F7" s="6">
        <v>2857.14</v>
      </c>
      <c r="G7" s="17" t="s">
        <v>1019</v>
      </c>
      <c r="H7" s="6">
        <v>142.86000000000001</v>
      </c>
      <c r="I7" t="s">
        <v>631</v>
      </c>
      <c r="J7">
        <v>1</v>
      </c>
      <c r="K7" t="s">
        <v>1706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984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1306</v>
      </c>
      <c r="R1" s="3" t="s">
        <v>285</v>
      </c>
      <c r="S1" s="3" t="s">
        <v>983</v>
      </c>
    </row>
    <row r="2" spans="1:19" x14ac:dyDescent="0.3">
      <c r="A2" t="s">
        <v>985</v>
      </c>
      <c r="B2" t="s">
        <v>1107</v>
      </c>
      <c r="C2" t="s">
        <v>246</v>
      </c>
      <c r="E2" t="s">
        <v>2123</v>
      </c>
      <c r="F2" t="s">
        <v>248</v>
      </c>
      <c r="G2" t="s">
        <v>249</v>
      </c>
      <c r="H2" t="s">
        <v>2120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989</v>
      </c>
      <c r="Q2">
        <v>0</v>
      </c>
      <c r="R2">
        <v>0</v>
      </c>
      <c r="S2">
        <v>0</v>
      </c>
    </row>
    <row r="3" spans="1:19" x14ac:dyDescent="0.3">
      <c r="A3" t="s">
        <v>986</v>
      </c>
      <c r="B3" t="s">
        <v>1015</v>
      </c>
      <c r="C3" t="s">
        <v>246</v>
      </c>
      <c r="D3" t="s">
        <v>1619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1017</v>
      </c>
      <c r="B4" t="s">
        <v>1018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988</v>
      </c>
      <c r="B5" t="s">
        <v>1016</v>
      </c>
      <c r="C5" t="s">
        <v>247</v>
      </c>
      <c r="E5" t="s">
        <v>2122</v>
      </c>
      <c r="G5" t="s">
        <v>254</v>
      </c>
      <c r="H5" t="s">
        <v>2121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987</v>
      </c>
      <c r="B6" t="s">
        <v>1015</v>
      </c>
      <c r="C6" t="s">
        <v>246</v>
      </c>
      <c r="D6" t="s">
        <v>1619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764</v>
      </c>
      <c r="D7" s="14" t="s">
        <v>190</v>
      </c>
      <c r="E7" s="14" t="s">
        <v>979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1199</v>
      </c>
      <c r="B10" t="s">
        <v>1236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1199</v>
      </c>
      <c r="B11" t="s">
        <v>1503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1234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2153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2154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1200</v>
      </c>
      <c r="B9" t="s">
        <v>1201</v>
      </c>
      <c r="C9" t="s">
        <v>2155</v>
      </c>
      <c r="D9" t="s">
        <v>266</v>
      </c>
      <c r="E9" t="s">
        <v>266</v>
      </c>
      <c r="F9" t="s">
        <v>1202</v>
      </c>
      <c r="G9" t="s">
        <v>1203</v>
      </c>
    </row>
    <row r="10" spans="1:7" x14ac:dyDescent="0.3">
      <c r="C10" t="s">
        <v>2156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Q1" workbookViewId="0">
      <selection activeCell="AI4" sqref="AI4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1287</v>
      </c>
      <c r="C1" s="38" t="s">
        <v>706</v>
      </c>
      <c r="D1" s="38" t="s">
        <v>677</v>
      </c>
      <c r="E1" s="38" t="s">
        <v>827</v>
      </c>
      <c r="F1" s="38" t="s">
        <v>638</v>
      </c>
      <c r="G1" s="38" t="s">
        <v>639</v>
      </c>
      <c r="H1" s="38" t="s">
        <v>678</v>
      </c>
      <c r="I1" s="38" t="s">
        <v>1938</v>
      </c>
      <c r="J1" s="38" t="s">
        <v>1939</v>
      </c>
      <c r="K1" s="38" t="s">
        <v>1940</v>
      </c>
      <c r="L1" s="38" t="s">
        <v>1941</v>
      </c>
      <c r="M1" s="38" t="s">
        <v>1942</v>
      </c>
      <c r="N1" s="38" t="s">
        <v>1943</v>
      </c>
      <c r="O1" s="38" t="s">
        <v>1944</v>
      </c>
      <c r="P1" s="38" t="s">
        <v>1945</v>
      </c>
      <c r="Q1" s="38" t="s">
        <v>1946</v>
      </c>
      <c r="R1" s="38" t="s">
        <v>640</v>
      </c>
      <c r="S1" s="38" t="s">
        <v>641</v>
      </c>
      <c r="T1" s="38" t="s">
        <v>642</v>
      </c>
      <c r="U1" s="38" t="s">
        <v>2249</v>
      </c>
      <c r="V1" s="38" t="s">
        <v>643</v>
      </c>
      <c r="W1" s="38" t="s">
        <v>1960</v>
      </c>
      <c r="X1" s="38" t="s">
        <v>1969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1405</v>
      </c>
      <c r="AF1" s="38" t="s">
        <v>767</v>
      </c>
      <c r="AG1" s="38" t="s">
        <v>770</v>
      </c>
      <c r="AH1" s="38" t="s">
        <v>2412</v>
      </c>
      <c r="AI1" s="38" t="s">
        <v>2413</v>
      </c>
      <c r="AJ1" s="38" t="s">
        <v>1304</v>
      </c>
      <c r="AK1" s="38" t="s">
        <v>1001</v>
      </c>
      <c r="AL1" s="38" t="s">
        <v>1000</v>
      </c>
      <c r="AM1" s="38" t="s">
        <v>766</v>
      </c>
      <c r="AN1" s="38" t="s">
        <v>772</v>
      </c>
      <c r="AO1" s="38" t="s">
        <v>773</v>
      </c>
      <c r="AP1" s="38" t="s">
        <v>799</v>
      </c>
      <c r="AQ1" s="38" t="s">
        <v>800</v>
      </c>
      <c r="AR1" s="38" t="s">
        <v>1748</v>
      </c>
      <c r="AS1" s="38" t="s">
        <v>1749</v>
      </c>
      <c r="AT1" s="38" t="s">
        <v>1750</v>
      </c>
      <c r="AU1" s="38" t="s">
        <v>1971</v>
      </c>
      <c r="AV1" s="38" t="s">
        <v>1974</v>
      </c>
      <c r="AW1" s="38" t="s">
        <v>1975</v>
      </c>
      <c r="AX1" s="38" t="s">
        <v>2237</v>
      </c>
      <c r="AY1" s="38" t="s">
        <v>2238</v>
      </c>
      <c r="AZ1" s="38" t="s">
        <v>2239</v>
      </c>
      <c r="BA1" s="38" t="s">
        <v>2240</v>
      </c>
    </row>
    <row r="2" spans="1:53" x14ac:dyDescent="0.3">
      <c r="A2" t="s">
        <v>1022</v>
      </c>
      <c r="B2" t="s">
        <v>653</v>
      </c>
      <c r="C2" s="44">
        <v>5512570</v>
      </c>
      <c r="D2" t="s">
        <v>648</v>
      </c>
      <c r="E2" t="s">
        <v>829</v>
      </c>
      <c r="F2" t="s">
        <v>828</v>
      </c>
      <c r="G2" t="s">
        <v>652</v>
      </c>
      <c r="I2" t="s">
        <v>2112</v>
      </c>
      <c r="J2" t="s">
        <v>555</v>
      </c>
      <c r="K2" t="s">
        <v>1947</v>
      </c>
      <c r="L2" t="s">
        <v>2109</v>
      </c>
      <c r="M2" t="s">
        <v>1948</v>
      </c>
      <c r="N2" s="4">
        <v>45170</v>
      </c>
      <c r="O2" s="4">
        <v>45287</v>
      </c>
      <c r="P2" s="4">
        <v>45677</v>
      </c>
      <c r="Q2" s="4">
        <v>46073</v>
      </c>
      <c r="R2" t="s">
        <v>1025</v>
      </c>
      <c r="S2" t="s">
        <v>651</v>
      </c>
      <c r="T2" t="s">
        <v>246</v>
      </c>
      <c r="U2" t="s">
        <v>2250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1729</v>
      </c>
      <c r="AE2" t="s">
        <v>1286</v>
      </c>
      <c r="AF2" t="s">
        <v>771</v>
      </c>
      <c r="AG2" t="s">
        <v>768</v>
      </c>
      <c r="AH2" t="s">
        <v>2414</v>
      </c>
      <c r="AI2" t="s">
        <v>2416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1023</v>
      </c>
      <c r="B3" t="s">
        <v>246</v>
      </c>
      <c r="C3" s="43">
        <v>5500202</v>
      </c>
      <c r="D3" t="s">
        <v>2101</v>
      </c>
      <c r="E3" s="18">
        <v>550020201</v>
      </c>
      <c r="F3" t="s">
        <v>2102</v>
      </c>
      <c r="G3" t="s">
        <v>863</v>
      </c>
      <c r="I3" t="s">
        <v>1949</v>
      </c>
      <c r="J3" t="s">
        <v>1950</v>
      </c>
      <c r="K3" t="s">
        <v>1951</v>
      </c>
      <c r="L3" t="s">
        <v>1952</v>
      </c>
      <c r="M3" t="s">
        <v>1953</v>
      </c>
      <c r="N3" s="4">
        <f ca="1">TODAY()</f>
        <v>46059</v>
      </c>
      <c r="O3" s="4">
        <v>45318</v>
      </c>
      <c r="P3" s="4">
        <v>45708</v>
      </c>
      <c r="Q3" s="4">
        <v>45736</v>
      </c>
      <c r="R3" t="s">
        <v>1024</v>
      </c>
      <c r="S3" t="s">
        <v>651</v>
      </c>
      <c r="U3" t="s">
        <v>2251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884</v>
      </c>
      <c r="AG3" t="s">
        <v>982</v>
      </c>
      <c r="AH3" t="s">
        <v>2415</v>
      </c>
      <c r="AI3" t="s">
        <v>2417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1029</v>
      </c>
      <c r="B4" t="s">
        <v>246</v>
      </c>
      <c r="C4" s="44">
        <v>5512570</v>
      </c>
      <c r="D4" t="s">
        <v>648</v>
      </c>
      <c r="E4" t="s">
        <v>829</v>
      </c>
      <c r="F4" t="s">
        <v>828</v>
      </c>
      <c r="G4" t="s">
        <v>652</v>
      </c>
      <c r="N4" s="4">
        <v>45170</v>
      </c>
      <c r="O4" s="4">
        <v>45287</v>
      </c>
      <c r="P4" s="4"/>
      <c r="Q4" s="4"/>
      <c r="R4" t="s">
        <v>1026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1729</v>
      </c>
      <c r="AE4" t="s">
        <v>1406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1030</v>
      </c>
      <c r="B5" t="s">
        <v>653</v>
      </c>
      <c r="C5" s="43">
        <v>5503710</v>
      </c>
      <c r="D5" t="s">
        <v>1253</v>
      </c>
      <c r="E5" t="s">
        <v>861</v>
      </c>
      <c r="F5" t="s">
        <v>862</v>
      </c>
      <c r="G5" t="s">
        <v>863</v>
      </c>
      <c r="N5" s="4">
        <f ca="1">TODAY()</f>
        <v>46059</v>
      </c>
      <c r="O5" s="4">
        <v>45318</v>
      </c>
      <c r="P5" s="4"/>
      <c r="Q5" s="4"/>
      <c r="R5" t="s">
        <v>1027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884</v>
      </c>
      <c r="AG5" t="s">
        <v>982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1028</v>
      </c>
      <c r="B6" t="s">
        <v>246</v>
      </c>
      <c r="C6" s="44">
        <v>5512570</v>
      </c>
      <c r="D6" t="s">
        <v>648</v>
      </c>
      <c r="E6" t="s">
        <v>829</v>
      </c>
      <c r="F6" t="s">
        <v>828</v>
      </c>
      <c r="G6" t="s">
        <v>652</v>
      </c>
      <c r="N6" s="4">
        <v>45170</v>
      </c>
      <c r="O6" s="4">
        <v>45287</v>
      </c>
      <c r="P6" s="4"/>
      <c r="Q6" s="4"/>
      <c r="R6" t="s">
        <v>1031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1023</v>
      </c>
      <c r="B7" t="s">
        <v>246</v>
      </c>
      <c r="C7" s="43">
        <v>5500202</v>
      </c>
      <c r="D7" t="s">
        <v>2101</v>
      </c>
      <c r="E7" s="18">
        <v>550020201</v>
      </c>
      <c r="F7" t="s">
        <v>2102</v>
      </c>
      <c r="G7" t="s">
        <v>863</v>
      </c>
      <c r="N7" s="4">
        <f ca="1">TODAY()</f>
        <v>46059</v>
      </c>
      <c r="O7" s="4">
        <v>45318</v>
      </c>
      <c r="P7" s="4"/>
      <c r="Q7" s="4"/>
      <c r="R7" t="s">
        <v>1048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884</v>
      </c>
      <c r="AG7" t="s">
        <v>982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1032</v>
      </c>
      <c r="B8" t="s">
        <v>246</v>
      </c>
      <c r="C8" s="44">
        <v>5512570</v>
      </c>
      <c r="D8" t="s">
        <v>648</v>
      </c>
      <c r="E8" t="s">
        <v>829</v>
      </c>
      <c r="F8" t="s">
        <v>828</v>
      </c>
      <c r="G8" t="s">
        <v>652</v>
      </c>
      <c r="N8" s="4">
        <v>45170</v>
      </c>
      <c r="O8" s="4">
        <v>45287</v>
      </c>
      <c r="P8" s="4"/>
      <c r="Q8" s="4"/>
      <c r="R8" t="s">
        <v>1033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1034</v>
      </c>
      <c r="B9" t="s">
        <v>246</v>
      </c>
      <c r="C9" s="44">
        <v>5512570</v>
      </c>
      <c r="D9" t="s">
        <v>648</v>
      </c>
      <c r="E9" t="s">
        <v>829</v>
      </c>
      <c r="F9" t="s">
        <v>828</v>
      </c>
      <c r="G9" t="s">
        <v>652</v>
      </c>
      <c r="N9" s="4">
        <v>45170</v>
      </c>
      <c r="O9" s="4">
        <v>45287</v>
      </c>
      <c r="P9" s="4"/>
      <c r="Q9" s="4"/>
      <c r="R9" t="s">
        <v>1035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1729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1036</v>
      </c>
      <c r="B10" t="s">
        <v>246</v>
      </c>
      <c r="C10" s="44">
        <v>5512570</v>
      </c>
      <c r="D10" t="s">
        <v>648</v>
      </c>
      <c r="E10" t="s">
        <v>829</v>
      </c>
      <c r="F10" t="s">
        <v>828</v>
      </c>
      <c r="G10" t="s">
        <v>652</v>
      </c>
      <c r="N10" s="4">
        <v>45170</v>
      </c>
      <c r="O10" s="4">
        <v>45287</v>
      </c>
      <c r="P10" s="4"/>
      <c r="Q10" s="4"/>
      <c r="R10" t="s">
        <v>1037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1038</v>
      </c>
      <c r="B11" t="s">
        <v>246</v>
      </c>
      <c r="C11" s="44">
        <v>5512570</v>
      </c>
      <c r="D11" t="s">
        <v>648</v>
      </c>
      <c r="E11" t="s">
        <v>829</v>
      </c>
      <c r="F11" t="s">
        <v>828</v>
      </c>
      <c r="G11" t="s">
        <v>652</v>
      </c>
      <c r="N11" s="4">
        <v>45170</v>
      </c>
      <c r="O11" s="4">
        <v>45287</v>
      </c>
      <c r="P11" s="4"/>
      <c r="Q11" s="4"/>
      <c r="R11" t="s">
        <v>1040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1039</v>
      </c>
      <c r="B12" t="s">
        <v>246</v>
      </c>
      <c r="C12" s="43">
        <v>5500202</v>
      </c>
      <c r="D12" t="s">
        <v>2101</v>
      </c>
      <c r="E12" s="18">
        <v>550020201</v>
      </c>
      <c r="F12" t="s">
        <v>2102</v>
      </c>
      <c r="G12" t="s">
        <v>863</v>
      </c>
      <c r="N12" s="4">
        <f ca="1">TODAY()</f>
        <v>46059</v>
      </c>
      <c r="O12" s="4">
        <v>45318</v>
      </c>
      <c r="P12" s="4"/>
      <c r="Q12" s="4"/>
      <c r="R12" t="s">
        <v>1041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1729</v>
      </c>
      <c r="AE12" t="s">
        <v>1285</v>
      </c>
      <c r="AF12" t="s">
        <v>884</v>
      </c>
      <c r="AG12" t="s">
        <v>982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1042</v>
      </c>
      <c r="B13" t="s">
        <v>246</v>
      </c>
      <c r="C13" s="44">
        <v>5512570</v>
      </c>
      <c r="D13" t="s">
        <v>648</v>
      </c>
      <c r="E13" t="s">
        <v>829</v>
      </c>
      <c r="F13" t="s">
        <v>828</v>
      </c>
      <c r="G13" t="s">
        <v>652</v>
      </c>
      <c r="N13" s="4">
        <v>45170</v>
      </c>
      <c r="O13" s="4">
        <v>45287</v>
      </c>
      <c r="P13" s="4"/>
      <c r="Q13" s="4"/>
      <c r="R13" t="s">
        <v>1043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1044</v>
      </c>
      <c r="B14" t="s">
        <v>246</v>
      </c>
      <c r="C14" s="44">
        <v>5512570</v>
      </c>
      <c r="D14" t="s">
        <v>648</v>
      </c>
      <c r="E14" t="s">
        <v>829</v>
      </c>
      <c r="F14" t="s">
        <v>828</v>
      </c>
      <c r="G14" t="s">
        <v>652</v>
      </c>
      <c r="N14" s="4">
        <v>45170</v>
      </c>
      <c r="O14" s="4">
        <v>45287</v>
      </c>
      <c r="P14" s="4"/>
      <c r="Q14" s="4"/>
      <c r="R14" t="s">
        <v>1046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1045</v>
      </c>
      <c r="B15" t="s">
        <v>246</v>
      </c>
      <c r="C15" s="43">
        <v>5500202</v>
      </c>
      <c r="D15" t="s">
        <v>2101</v>
      </c>
      <c r="E15" s="18">
        <v>550020201</v>
      </c>
      <c r="F15" t="s">
        <v>2102</v>
      </c>
      <c r="G15" t="s">
        <v>863</v>
      </c>
      <c r="N15" s="4">
        <f ca="1">TODAY()</f>
        <v>46059</v>
      </c>
      <c r="O15" s="4">
        <v>45318</v>
      </c>
      <c r="P15" s="4"/>
      <c r="Q15" s="4"/>
      <c r="R15" t="s">
        <v>1047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884</v>
      </c>
      <c r="AG15" t="s">
        <v>982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1049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1059</v>
      </c>
      <c r="AF16" t="s">
        <v>1060</v>
      </c>
      <c r="AG16" t="s">
        <v>1068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801</v>
      </c>
      <c r="B17" t="s">
        <v>246</v>
      </c>
      <c r="C17" s="44"/>
      <c r="R17" t="s">
        <v>1050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2101</v>
      </c>
      <c r="E19" s="51">
        <v>550020201</v>
      </c>
      <c r="F19" s="46" t="s">
        <v>2102</v>
      </c>
      <c r="G19" s="46" t="s">
        <v>1224</v>
      </c>
      <c r="R19" s="46" t="s">
        <v>1475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1474</v>
      </c>
      <c r="B20" t="s">
        <v>246</v>
      </c>
      <c r="C20" s="44"/>
      <c r="R20" t="s">
        <v>2158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1504</v>
      </c>
      <c r="B21" t="s">
        <v>764</v>
      </c>
      <c r="C21" s="44"/>
      <c r="O21" s="4">
        <v>45544</v>
      </c>
      <c r="P21" s="4">
        <v>45178</v>
      </c>
      <c r="Q21" s="4"/>
      <c r="R21" t="s">
        <v>1507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1505</v>
      </c>
      <c r="B22" t="s">
        <v>764</v>
      </c>
      <c r="C22" s="44"/>
      <c r="O22" s="4">
        <v>45544</v>
      </c>
      <c r="P22" s="4">
        <v>45178</v>
      </c>
      <c r="Q22" s="4"/>
      <c r="R22" t="s">
        <v>1506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1955</v>
      </c>
      <c r="B23" t="s">
        <v>246</v>
      </c>
      <c r="C23" s="44">
        <v>5512570</v>
      </c>
      <c r="D23" t="s">
        <v>648</v>
      </c>
      <c r="E23" t="s">
        <v>829</v>
      </c>
      <c r="F23" t="s">
        <v>828</v>
      </c>
      <c r="G23" t="s">
        <v>863</v>
      </c>
      <c r="O23" s="4"/>
      <c r="P23" s="4"/>
      <c r="Q23" s="4"/>
      <c r="R23" t="s">
        <v>1963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1954</v>
      </c>
      <c r="B24" t="s">
        <v>246</v>
      </c>
      <c r="C24" s="44">
        <v>5512570</v>
      </c>
      <c r="D24" t="s">
        <v>648</v>
      </c>
      <c r="E24" t="s">
        <v>829</v>
      </c>
      <c r="F24" t="s">
        <v>828</v>
      </c>
      <c r="G24" t="s">
        <v>1224</v>
      </c>
      <c r="I24" t="s">
        <v>2111</v>
      </c>
      <c r="J24" t="s">
        <v>1947</v>
      </c>
      <c r="K24" t="s">
        <v>555</v>
      </c>
      <c r="L24" t="s">
        <v>2110</v>
      </c>
      <c r="M24" t="s">
        <v>1964</v>
      </c>
      <c r="N24" s="4">
        <v>45036</v>
      </c>
      <c r="O24" s="4">
        <v>46132</v>
      </c>
      <c r="P24" s="4">
        <v>45677</v>
      </c>
      <c r="Q24" s="4">
        <v>45829</v>
      </c>
      <c r="R24" t="s">
        <v>1962</v>
      </c>
      <c r="S24" t="s">
        <v>1956</v>
      </c>
      <c r="T24" t="s">
        <v>696</v>
      </c>
      <c r="V24" t="s">
        <v>697</v>
      </c>
      <c r="W24" t="s">
        <v>1961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1957</v>
      </c>
      <c r="AF24" t="s">
        <v>1958</v>
      </c>
      <c r="AG24" t="s">
        <v>1959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1965</v>
      </c>
      <c r="B25" t="s">
        <v>246</v>
      </c>
      <c r="C25" s="44">
        <v>5512570</v>
      </c>
      <c r="D25" t="s">
        <v>648</v>
      </c>
      <c r="E25" t="s">
        <v>829</v>
      </c>
      <c r="F25" t="s">
        <v>828</v>
      </c>
      <c r="G25" t="s">
        <v>1966</v>
      </c>
      <c r="I25" t="s">
        <v>1967</v>
      </c>
      <c r="J25" t="s">
        <v>555</v>
      </c>
      <c r="K25" t="s">
        <v>1951</v>
      </c>
      <c r="L25" t="s">
        <v>1952</v>
      </c>
      <c r="M25" t="s">
        <v>1953</v>
      </c>
      <c r="N25" s="4">
        <v>45432</v>
      </c>
      <c r="O25" s="4">
        <v>45767</v>
      </c>
      <c r="P25" s="4">
        <v>45708</v>
      </c>
      <c r="Q25" s="4">
        <v>45737</v>
      </c>
      <c r="R25" t="s">
        <v>1968</v>
      </c>
      <c r="W25" t="s">
        <v>7</v>
      </c>
      <c r="X25" t="s">
        <v>1970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1424</v>
      </c>
      <c r="C1" s="3" t="s">
        <v>1425</v>
      </c>
      <c r="D1" s="3" t="s">
        <v>1426</v>
      </c>
      <c r="E1" s="3" t="s">
        <v>1427</v>
      </c>
      <c r="F1" s="3" t="s">
        <v>1428</v>
      </c>
      <c r="G1" s="3" t="s">
        <v>1429</v>
      </c>
      <c r="H1" s="3" t="s">
        <v>1430</v>
      </c>
      <c r="I1" s="3" t="s">
        <v>1431</v>
      </c>
      <c r="J1" s="3" t="s">
        <v>1432</v>
      </c>
      <c r="K1" s="3" t="s">
        <v>1433</v>
      </c>
      <c r="L1" s="3" t="s">
        <v>1434</v>
      </c>
      <c r="M1" s="3" t="s">
        <v>1435</v>
      </c>
      <c r="N1" s="3" t="s">
        <v>1436</v>
      </c>
      <c r="O1" s="3" t="s">
        <v>1437</v>
      </c>
      <c r="P1" s="3" t="s">
        <v>1438</v>
      </c>
      <c r="Q1" s="3" t="s">
        <v>1439</v>
      </c>
      <c r="R1" s="3" t="s">
        <v>1440</v>
      </c>
      <c r="S1" s="3" t="s">
        <v>1441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866</v>
      </c>
      <c r="B5" t="s">
        <v>570</v>
      </c>
      <c r="C5" t="b">
        <v>1</v>
      </c>
      <c r="D5" t="s">
        <v>867</v>
      </c>
      <c r="E5" t="s">
        <v>868</v>
      </c>
      <c r="J5" t="s">
        <v>869</v>
      </c>
      <c r="K5" t="s">
        <v>870</v>
      </c>
      <c r="M5" t="s">
        <v>30</v>
      </c>
      <c r="N5" t="s">
        <v>33</v>
      </c>
      <c r="O5" t="s">
        <v>31</v>
      </c>
      <c r="Q5" s="2" t="s">
        <v>871</v>
      </c>
      <c r="R5" s="1" t="s">
        <v>872</v>
      </c>
      <c r="S5">
        <v>7896778787</v>
      </c>
    </row>
    <row r="6" spans="1:19" x14ac:dyDescent="0.3">
      <c r="A6" t="s">
        <v>866</v>
      </c>
      <c r="B6" t="s">
        <v>3</v>
      </c>
      <c r="C6" t="b">
        <v>0</v>
      </c>
      <c r="G6" t="s">
        <v>873</v>
      </c>
      <c r="H6" t="s">
        <v>874</v>
      </c>
      <c r="I6" t="s">
        <v>875</v>
      </c>
      <c r="J6" t="s">
        <v>876</v>
      </c>
      <c r="M6" t="s">
        <v>878</v>
      </c>
      <c r="N6" t="s">
        <v>877</v>
      </c>
      <c r="O6" t="s">
        <v>15</v>
      </c>
      <c r="Q6">
        <v>19706</v>
      </c>
      <c r="R6" s="1" t="s">
        <v>879</v>
      </c>
      <c r="S6">
        <v>7780991098</v>
      </c>
    </row>
    <row r="7" spans="1:19" x14ac:dyDescent="0.3">
      <c r="A7" t="s">
        <v>1061</v>
      </c>
      <c r="B7" t="s">
        <v>570</v>
      </c>
      <c r="C7" t="b">
        <v>1</v>
      </c>
      <c r="D7" t="s">
        <v>45</v>
      </c>
      <c r="E7" t="s">
        <v>1063</v>
      </c>
      <c r="J7" t="s">
        <v>1064</v>
      </c>
      <c r="K7" t="s">
        <v>1065</v>
      </c>
      <c r="M7" t="s">
        <v>66</v>
      </c>
      <c r="N7" t="s">
        <v>33</v>
      </c>
      <c r="O7" t="s">
        <v>31</v>
      </c>
      <c r="Q7" t="s">
        <v>1066</v>
      </c>
      <c r="R7" s="1" t="s">
        <v>1067</v>
      </c>
      <c r="S7">
        <v>7089090655</v>
      </c>
    </row>
    <row r="8" spans="1:19" x14ac:dyDescent="0.3">
      <c r="A8" t="s">
        <v>1210</v>
      </c>
      <c r="B8" t="s">
        <v>3</v>
      </c>
      <c r="C8" t="b">
        <v>1</v>
      </c>
      <c r="G8" t="s">
        <v>1211</v>
      </c>
      <c r="H8" t="s">
        <v>1212</v>
      </c>
      <c r="J8" t="s">
        <v>1213</v>
      </c>
      <c r="K8" t="s">
        <v>1214</v>
      </c>
      <c r="M8" t="s">
        <v>66</v>
      </c>
      <c r="N8" t="s">
        <v>33</v>
      </c>
      <c r="O8" t="s">
        <v>31</v>
      </c>
      <c r="Q8" t="s">
        <v>1215</v>
      </c>
      <c r="R8" s="1" t="s">
        <v>1216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2024</v>
      </c>
      <c r="C1" s="3" t="s">
        <v>2025</v>
      </c>
      <c r="D1" s="3" t="s">
        <v>2026</v>
      </c>
      <c r="E1" s="3" t="s">
        <v>2027</v>
      </c>
      <c r="F1" s="3" t="s">
        <v>2028</v>
      </c>
      <c r="G1" s="3" t="s">
        <v>2029</v>
      </c>
      <c r="H1" s="3" t="s">
        <v>2030</v>
      </c>
      <c r="I1" s="3" t="s">
        <v>2031</v>
      </c>
      <c r="J1" s="3" t="s">
        <v>2032</v>
      </c>
      <c r="K1" s="3" t="s">
        <v>2033</v>
      </c>
      <c r="L1" s="3" t="s">
        <v>2034</v>
      </c>
      <c r="M1" s="3" t="s">
        <v>2035</v>
      </c>
      <c r="N1" s="3" t="s">
        <v>2036</v>
      </c>
      <c r="O1" s="3" t="s">
        <v>2037</v>
      </c>
      <c r="P1" s="3" t="s">
        <v>2038</v>
      </c>
      <c r="Q1" s="3" t="s">
        <v>2039</v>
      </c>
      <c r="R1" s="3" t="s">
        <v>2040</v>
      </c>
      <c r="S1" s="3" t="s">
        <v>2041</v>
      </c>
      <c r="T1" s="3" t="s">
        <v>2042</v>
      </c>
      <c r="U1" s="3" t="s">
        <v>2043</v>
      </c>
      <c r="V1" s="3" t="s">
        <v>2044</v>
      </c>
      <c r="W1" s="3" t="s">
        <v>2045</v>
      </c>
      <c r="X1" s="3" t="s">
        <v>2046</v>
      </c>
      <c r="Y1" s="3" t="s">
        <v>2047</v>
      </c>
      <c r="Z1" s="3" t="s">
        <v>2048</v>
      </c>
      <c r="AA1" s="3" t="s">
        <v>2049</v>
      </c>
      <c r="AB1" s="3" t="s">
        <v>2050</v>
      </c>
      <c r="AC1" s="3" t="s">
        <v>2051</v>
      </c>
      <c r="AD1" s="3" t="s">
        <v>2052</v>
      </c>
      <c r="AE1" s="3" t="s">
        <v>2053</v>
      </c>
      <c r="AF1" s="3" t="s">
        <v>2054</v>
      </c>
      <c r="AG1" s="3" t="s">
        <v>2055</v>
      </c>
      <c r="AH1" s="3" t="s">
        <v>2056</v>
      </c>
      <c r="AI1" s="3" t="s">
        <v>2057</v>
      </c>
      <c r="AJ1" s="3" t="s">
        <v>2058</v>
      </c>
      <c r="AK1" s="3" t="s">
        <v>2059</v>
      </c>
      <c r="AL1" s="3" t="s">
        <v>2060</v>
      </c>
      <c r="AM1" s="3" t="s">
        <v>2061</v>
      </c>
      <c r="AN1" s="3" t="s">
        <v>2062</v>
      </c>
      <c r="AO1" s="3" t="s">
        <v>2063</v>
      </c>
      <c r="AP1" s="3" t="s">
        <v>2064</v>
      </c>
      <c r="AQ1" s="3" t="s">
        <v>2065</v>
      </c>
      <c r="AR1" s="3" t="s">
        <v>2066</v>
      </c>
      <c r="AS1" s="3" t="s">
        <v>2067</v>
      </c>
      <c r="AT1" s="3" t="s">
        <v>2068</v>
      </c>
      <c r="AU1" s="3" t="s">
        <v>2069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1219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774</v>
      </c>
      <c r="C1" s="3" t="s">
        <v>1445</v>
      </c>
      <c r="D1" s="3" t="s">
        <v>775</v>
      </c>
      <c r="E1" s="3" t="s">
        <v>776</v>
      </c>
      <c r="F1" s="3" t="s">
        <v>777</v>
      </c>
      <c r="G1" s="3" t="s">
        <v>787</v>
      </c>
      <c r="H1" s="3" t="s">
        <v>778</v>
      </c>
      <c r="I1" s="3" t="s">
        <v>779</v>
      </c>
      <c r="J1" s="3" t="s">
        <v>1444</v>
      </c>
      <c r="K1" s="3" t="s">
        <v>780</v>
      </c>
      <c r="L1" s="3" t="s">
        <v>781</v>
      </c>
      <c r="M1" s="3" t="s">
        <v>782</v>
      </c>
    </row>
    <row r="2" spans="1:13" x14ac:dyDescent="0.3">
      <c r="A2" t="s">
        <v>783</v>
      </c>
      <c r="B2" t="s">
        <v>487</v>
      </c>
      <c r="D2" t="s">
        <v>790</v>
      </c>
      <c r="E2" t="s">
        <v>795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784</v>
      </c>
      <c r="B3" t="s">
        <v>492</v>
      </c>
      <c r="C3" t="s">
        <v>1446</v>
      </c>
      <c r="D3" t="s">
        <v>791</v>
      </c>
      <c r="E3" t="s">
        <v>796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785</v>
      </c>
      <c r="B4" t="s">
        <v>487</v>
      </c>
      <c r="D4" t="s">
        <v>792</v>
      </c>
      <c r="E4" t="s">
        <v>797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786</v>
      </c>
      <c r="B5" t="s">
        <v>490</v>
      </c>
      <c r="D5" t="s">
        <v>793</v>
      </c>
      <c r="E5" t="s">
        <v>798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789</v>
      </c>
      <c r="B6" t="s">
        <v>487</v>
      </c>
      <c r="D6" t="s">
        <v>790</v>
      </c>
      <c r="E6" t="s">
        <v>795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788</v>
      </c>
      <c r="B7" t="s">
        <v>487</v>
      </c>
      <c r="D7" t="s">
        <v>794</v>
      </c>
      <c r="E7" t="s">
        <v>795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1220</v>
      </c>
      <c r="B8" t="s">
        <v>487</v>
      </c>
      <c r="D8" t="s">
        <v>1221</v>
      </c>
      <c r="E8" t="s">
        <v>796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805</v>
      </c>
      <c r="C1" s="3" t="s">
        <v>978</v>
      </c>
      <c r="D1" s="3" t="s">
        <v>804</v>
      </c>
      <c r="E1" s="3" t="s">
        <v>802</v>
      </c>
      <c r="F1" s="3" t="s">
        <v>1936</v>
      </c>
      <c r="G1" s="3" t="s">
        <v>803</v>
      </c>
      <c r="H1" s="3" t="s">
        <v>890</v>
      </c>
    </row>
    <row r="2" spans="1:8" x14ac:dyDescent="0.3">
      <c r="A2" t="s">
        <v>806</v>
      </c>
      <c r="B2" t="s">
        <v>817</v>
      </c>
      <c r="C2" t="s">
        <v>3</v>
      </c>
      <c r="E2" t="s">
        <v>807</v>
      </c>
      <c r="F2" t="s">
        <v>825</v>
      </c>
      <c r="G2" t="s">
        <v>818</v>
      </c>
      <c r="H2">
        <v>0</v>
      </c>
    </row>
    <row r="3" spans="1:8" x14ac:dyDescent="0.3">
      <c r="A3" t="s">
        <v>806</v>
      </c>
      <c r="B3" t="s">
        <v>817</v>
      </c>
      <c r="C3" t="s">
        <v>570</v>
      </c>
      <c r="E3" t="s">
        <v>824</v>
      </c>
      <c r="F3" s="14" t="s">
        <v>826</v>
      </c>
      <c r="G3" t="s">
        <v>819</v>
      </c>
      <c r="H3">
        <v>1</v>
      </c>
    </row>
    <row r="4" spans="1:8" x14ac:dyDescent="0.3">
      <c r="A4" t="s">
        <v>806</v>
      </c>
      <c r="B4" t="s">
        <v>817</v>
      </c>
      <c r="C4" t="s">
        <v>3</v>
      </c>
      <c r="E4" t="s">
        <v>810</v>
      </c>
      <c r="F4" t="s">
        <v>825</v>
      </c>
      <c r="G4" t="s">
        <v>820</v>
      </c>
      <c r="H4">
        <v>2</v>
      </c>
    </row>
    <row r="5" spans="1:8" x14ac:dyDescent="0.3">
      <c r="A5" t="s">
        <v>806</v>
      </c>
      <c r="B5" t="s">
        <v>817</v>
      </c>
      <c r="C5" t="s">
        <v>570</v>
      </c>
      <c r="E5" t="s">
        <v>812</v>
      </c>
      <c r="F5" s="14" t="s">
        <v>826</v>
      </c>
      <c r="G5" t="s">
        <v>821</v>
      </c>
      <c r="H5">
        <v>3</v>
      </c>
    </row>
    <row r="6" spans="1:8" x14ac:dyDescent="0.3">
      <c r="A6" t="s">
        <v>806</v>
      </c>
      <c r="B6" t="s">
        <v>817</v>
      </c>
      <c r="C6" t="s">
        <v>570</v>
      </c>
      <c r="E6" t="s">
        <v>814</v>
      </c>
      <c r="F6" s="14" t="s">
        <v>826</v>
      </c>
      <c r="G6" t="s">
        <v>822</v>
      </c>
      <c r="H6">
        <v>4</v>
      </c>
    </row>
    <row r="7" spans="1:8" x14ac:dyDescent="0.3">
      <c r="A7" t="s">
        <v>806</v>
      </c>
      <c r="B7" t="s">
        <v>823</v>
      </c>
      <c r="C7" t="s">
        <v>3</v>
      </c>
      <c r="D7" t="s">
        <v>808</v>
      </c>
      <c r="H7">
        <v>0</v>
      </c>
    </row>
    <row r="8" spans="1:8" x14ac:dyDescent="0.3">
      <c r="A8" t="s">
        <v>806</v>
      </c>
      <c r="B8" t="s">
        <v>823</v>
      </c>
      <c r="C8" t="s">
        <v>3</v>
      </c>
      <c r="D8" t="s">
        <v>809</v>
      </c>
      <c r="H8">
        <v>1</v>
      </c>
    </row>
    <row r="9" spans="1:8" x14ac:dyDescent="0.3">
      <c r="A9" t="s">
        <v>806</v>
      </c>
      <c r="B9" t="s">
        <v>823</v>
      </c>
      <c r="C9" t="s">
        <v>570</v>
      </c>
      <c r="D9" t="s">
        <v>811</v>
      </c>
      <c r="H9">
        <v>2</v>
      </c>
    </row>
    <row r="10" spans="1:8" x14ac:dyDescent="0.3">
      <c r="A10" t="s">
        <v>806</v>
      </c>
      <c r="B10" t="s">
        <v>823</v>
      </c>
      <c r="C10" t="s">
        <v>570</v>
      </c>
      <c r="D10" t="s">
        <v>813</v>
      </c>
      <c r="H10">
        <v>3</v>
      </c>
    </row>
    <row r="11" spans="1:8" x14ac:dyDescent="0.3">
      <c r="A11" t="s">
        <v>806</v>
      </c>
      <c r="B11" t="s">
        <v>823</v>
      </c>
      <c r="C11" t="s">
        <v>570</v>
      </c>
      <c r="D11" t="s">
        <v>815</v>
      </c>
      <c r="H11">
        <v>4</v>
      </c>
    </row>
    <row r="12" spans="1:8" x14ac:dyDescent="0.3">
      <c r="A12" t="s">
        <v>880</v>
      </c>
      <c r="B12" t="s">
        <v>823</v>
      </c>
      <c r="C12" t="s">
        <v>570</v>
      </c>
      <c r="D12" t="s">
        <v>881</v>
      </c>
      <c r="H12">
        <v>0</v>
      </c>
    </row>
    <row r="13" spans="1:8" x14ac:dyDescent="0.3">
      <c r="A13" t="s">
        <v>880</v>
      </c>
      <c r="B13" t="s">
        <v>817</v>
      </c>
      <c r="C13" t="s">
        <v>3</v>
      </c>
      <c r="E13" t="s">
        <v>882</v>
      </c>
      <c r="F13" t="s">
        <v>883</v>
      </c>
      <c r="G13" t="s">
        <v>891</v>
      </c>
      <c r="H13">
        <v>0</v>
      </c>
    </row>
    <row r="14" spans="1:8" x14ac:dyDescent="0.3">
      <c r="A14" t="s">
        <v>1069</v>
      </c>
      <c r="B14" t="s">
        <v>823</v>
      </c>
      <c r="C14" t="s">
        <v>3</v>
      </c>
      <c r="D14" t="s">
        <v>1072</v>
      </c>
      <c r="H14">
        <v>0</v>
      </c>
    </row>
    <row r="15" spans="1:8" x14ac:dyDescent="0.3">
      <c r="A15" t="s">
        <v>1069</v>
      </c>
      <c r="B15" t="s">
        <v>817</v>
      </c>
      <c r="C15" t="s">
        <v>570</v>
      </c>
      <c r="E15" t="s">
        <v>1070</v>
      </c>
      <c r="F15" t="s">
        <v>826</v>
      </c>
      <c r="G15" t="s">
        <v>1071</v>
      </c>
      <c r="H15">
        <v>0</v>
      </c>
    </row>
    <row r="16" spans="1:8" x14ac:dyDescent="0.3">
      <c r="A16" t="s">
        <v>1222</v>
      </c>
      <c r="B16" t="s">
        <v>817</v>
      </c>
      <c r="C16" t="s">
        <v>570</v>
      </c>
      <c r="E16" t="s">
        <v>824</v>
      </c>
      <c r="F16" s="14" t="s">
        <v>826</v>
      </c>
      <c r="G16" t="s">
        <v>819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887</v>
      </c>
      <c r="C1" s="3" t="s">
        <v>888</v>
      </c>
      <c r="D1" s="3" t="s">
        <v>889</v>
      </c>
      <c r="E1" s="3" t="s">
        <v>831</v>
      </c>
      <c r="F1" s="3" t="s">
        <v>885</v>
      </c>
      <c r="G1" s="3" t="s">
        <v>832</v>
      </c>
      <c r="H1" s="3" t="s">
        <v>833</v>
      </c>
      <c r="I1" s="3" t="s">
        <v>834</v>
      </c>
      <c r="J1" s="3" t="s">
        <v>1247</v>
      </c>
      <c r="K1" s="3" t="s">
        <v>835</v>
      </c>
      <c r="L1" s="3" t="s">
        <v>836</v>
      </c>
      <c r="M1" s="3" t="s">
        <v>837</v>
      </c>
      <c r="N1" s="3" t="s">
        <v>838</v>
      </c>
      <c r="O1" s="3" t="s">
        <v>839</v>
      </c>
      <c r="P1" s="3" t="s">
        <v>840</v>
      </c>
      <c r="Q1" s="3" t="s">
        <v>892</v>
      </c>
      <c r="R1" s="3" t="s">
        <v>841</v>
      </c>
      <c r="S1" s="3" t="s">
        <v>842</v>
      </c>
      <c r="T1" s="3" t="s">
        <v>843</v>
      </c>
      <c r="U1" s="3" t="s">
        <v>844</v>
      </c>
      <c r="V1" s="3" t="s">
        <v>845</v>
      </c>
    </row>
    <row r="2" spans="1:22" x14ac:dyDescent="0.3">
      <c r="A2" t="s">
        <v>830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1248</v>
      </c>
      <c r="G2" s="35">
        <v>45176</v>
      </c>
      <c r="H2" s="35">
        <v>45177</v>
      </c>
      <c r="I2" s="35">
        <v>45149</v>
      </c>
      <c r="J2" s="35">
        <v>45241</v>
      </c>
      <c r="K2" t="s">
        <v>1764</v>
      </c>
      <c r="L2" t="s">
        <v>1531</v>
      </c>
      <c r="M2" t="s">
        <v>857</v>
      </c>
      <c r="N2" t="s">
        <v>858</v>
      </c>
      <c r="O2" t="s">
        <v>859</v>
      </c>
      <c r="P2" t="s">
        <v>2333</v>
      </c>
      <c r="Q2" t="s">
        <v>2105</v>
      </c>
      <c r="R2" t="b">
        <v>1</v>
      </c>
      <c r="S2">
        <v>12345</v>
      </c>
      <c r="T2" t="s">
        <v>860</v>
      </c>
      <c r="U2">
        <v>1</v>
      </c>
      <c r="V2">
        <v>3</v>
      </c>
    </row>
    <row r="3" spans="1:22" x14ac:dyDescent="0.3">
      <c r="A3" t="s">
        <v>886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975</v>
      </c>
      <c r="P3" t="s">
        <v>2334</v>
      </c>
      <c r="Q3" t="s">
        <v>2106</v>
      </c>
      <c r="R3" t="b">
        <v>0</v>
      </c>
      <c r="U3">
        <v>4</v>
      </c>
      <c r="V3">
        <v>1</v>
      </c>
    </row>
    <row r="4" spans="1:22" x14ac:dyDescent="0.3">
      <c r="A4" t="s">
        <v>1222</v>
      </c>
      <c r="B4" s="37">
        <v>10000</v>
      </c>
      <c r="C4" s="37">
        <v>500</v>
      </c>
      <c r="D4" s="37">
        <v>10500</v>
      </c>
      <c r="E4" t="s">
        <v>487</v>
      </c>
      <c r="F4" t="s">
        <v>1248</v>
      </c>
      <c r="G4" s="35">
        <v>45272</v>
      </c>
      <c r="H4" s="35">
        <v>45272</v>
      </c>
      <c r="I4" s="35">
        <v>45242</v>
      </c>
      <c r="J4" s="35">
        <v>45181</v>
      </c>
      <c r="K4" t="s">
        <v>1223</v>
      </c>
      <c r="L4" t="s">
        <v>1531</v>
      </c>
      <c r="M4" t="s">
        <v>857</v>
      </c>
      <c r="N4" t="s">
        <v>1225</v>
      </c>
      <c r="O4" t="s">
        <v>859</v>
      </c>
      <c r="P4" t="s">
        <v>2335</v>
      </c>
      <c r="Q4" t="s">
        <v>2103</v>
      </c>
      <c r="R4" t="b">
        <v>1</v>
      </c>
      <c r="S4">
        <v>145556</v>
      </c>
      <c r="T4" t="s">
        <v>1226</v>
      </c>
      <c r="U4">
        <v>5</v>
      </c>
      <c r="V4">
        <v>1</v>
      </c>
    </row>
    <row r="5" spans="1:22" s="23" customFormat="1" x14ac:dyDescent="0.3">
      <c r="A5" s="23" t="s">
        <v>1758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1773</v>
      </c>
      <c r="G5" s="27">
        <v>45569</v>
      </c>
      <c r="K5" s="23" t="s">
        <v>1763</v>
      </c>
      <c r="L5" s="23" t="s">
        <v>1531</v>
      </c>
      <c r="M5" s="23" t="s">
        <v>1824</v>
      </c>
      <c r="N5" s="23" t="s">
        <v>858</v>
      </c>
      <c r="O5" s="23" t="s">
        <v>1765</v>
      </c>
      <c r="P5" s="23" t="s">
        <v>1766</v>
      </c>
      <c r="Q5" s="23" t="s">
        <v>759</v>
      </c>
      <c r="R5" s="23" t="b">
        <v>0</v>
      </c>
      <c r="S5" s="23" t="s">
        <v>1351</v>
      </c>
      <c r="T5" s="23" t="s">
        <v>1767</v>
      </c>
      <c r="U5" s="23">
        <v>6</v>
      </c>
      <c r="V5" s="23">
        <v>3</v>
      </c>
    </row>
    <row r="6" spans="1:22" s="23" customFormat="1" x14ac:dyDescent="0.3">
      <c r="A6" s="23" t="s">
        <v>1770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975</v>
      </c>
      <c r="P6" s="23" t="s">
        <v>1993</v>
      </c>
      <c r="Q6" s="23" t="s">
        <v>1992</v>
      </c>
      <c r="R6" s="23" t="b">
        <v>1</v>
      </c>
      <c r="U6" s="23">
        <v>9</v>
      </c>
      <c r="V6" s="23">
        <v>1</v>
      </c>
    </row>
    <row r="7" spans="1:22" x14ac:dyDescent="0.3">
      <c r="A7" t="s">
        <v>1989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1248</v>
      </c>
      <c r="G7" s="35">
        <v>45176</v>
      </c>
      <c r="H7" s="35">
        <v>45177</v>
      </c>
      <c r="I7" s="35">
        <v>45149</v>
      </c>
      <c r="J7" s="35">
        <v>45241</v>
      </c>
      <c r="K7" t="s">
        <v>1764</v>
      </c>
      <c r="L7" t="s">
        <v>1531</v>
      </c>
      <c r="M7" t="s">
        <v>857</v>
      </c>
      <c r="N7" t="s">
        <v>858</v>
      </c>
      <c r="O7" t="s">
        <v>859</v>
      </c>
      <c r="P7" t="s">
        <v>2336</v>
      </c>
      <c r="Q7" t="s">
        <v>2107</v>
      </c>
      <c r="R7" t="b">
        <v>1</v>
      </c>
      <c r="S7">
        <v>12345</v>
      </c>
      <c r="T7" t="s">
        <v>860</v>
      </c>
      <c r="U7">
        <v>10</v>
      </c>
      <c r="V7">
        <v>1</v>
      </c>
    </row>
    <row r="8" spans="1:22" x14ac:dyDescent="0.3">
      <c r="A8" t="s">
        <v>1972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1976</v>
      </c>
      <c r="L8" t="s">
        <v>1531</v>
      </c>
      <c r="M8" t="s">
        <v>1824</v>
      </c>
      <c r="N8" t="s">
        <v>1979</v>
      </c>
      <c r="O8" t="s">
        <v>1980</v>
      </c>
      <c r="P8" t="s">
        <v>2104</v>
      </c>
      <c r="Q8" t="s">
        <v>2108</v>
      </c>
      <c r="R8" t="b">
        <v>1</v>
      </c>
      <c r="S8" t="s">
        <v>1981</v>
      </c>
      <c r="T8" t="s">
        <v>1982</v>
      </c>
      <c r="U8">
        <v>11</v>
      </c>
      <c r="V8">
        <v>1</v>
      </c>
    </row>
    <row r="9" spans="1:22" x14ac:dyDescent="0.3">
      <c r="A9" t="s">
        <v>1973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1977</v>
      </c>
      <c r="L9" t="s">
        <v>1531</v>
      </c>
      <c r="M9" t="s">
        <v>1985</v>
      </c>
      <c r="N9" t="s">
        <v>1986</v>
      </c>
      <c r="O9" t="s">
        <v>1987</v>
      </c>
      <c r="P9" t="s">
        <v>1988</v>
      </c>
      <c r="Q9" t="s">
        <v>807</v>
      </c>
      <c r="R9" t="b">
        <v>0</v>
      </c>
      <c r="S9" t="s">
        <v>1984</v>
      </c>
      <c r="T9" t="s">
        <v>1983</v>
      </c>
      <c r="U9">
        <v>12</v>
      </c>
      <c r="V9">
        <v>1</v>
      </c>
    </row>
    <row r="10" spans="1:22" x14ac:dyDescent="0.3">
      <c r="A10" t="s">
        <v>2350</v>
      </c>
      <c r="B10" s="37"/>
      <c r="E10" t="s">
        <v>487</v>
      </c>
      <c r="F10" t="s">
        <v>1773</v>
      </c>
      <c r="G10" s="4">
        <v>45569</v>
      </c>
      <c r="K10" t="s">
        <v>2351</v>
      </c>
      <c r="L10" t="s">
        <v>1531</v>
      </c>
      <c r="M10" t="s">
        <v>1824</v>
      </c>
      <c r="N10" t="s">
        <v>858</v>
      </c>
      <c r="O10" t="s">
        <v>1765</v>
      </c>
      <c r="P10" t="s">
        <v>1766</v>
      </c>
      <c r="Q10" t="s">
        <v>759</v>
      </c>
      <c r="R10" t="b">
        <v>0</v>
      </c>
      <c r="S10" t="s">
        <v>1351</v>
      </c>
      <c r="T10" t="s">
        <v>1767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846</v>
      </c>
      <c r="C1" s="3" t="s">
        <v>847</v>
      </c>
      <c r="D1" s="3" t="s">
        <v>848</v>
      </c>
      <c r="E1" s="3" t="s">
        <v>850</v>
      </c>
      <c r="F1" s="3" t="s">
        <v>849</v>
      </c>
    </row>
    <row r="2" spans="1:6" x14ac:dyDescent="0.3">
      <c r="A2" t="s">
        <v>851</v>
      </c>
      <c r="B2" t="s">
        <v>854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852</v>
      </c>
      <c r="B3" t="s">
        <v>855</v>
      </c>
      <c r="C3">
        <v>1200000</v>
      </c>
      <c r="D3" t="s">
        <v>266</v>
      </c>
      <c r="F3">
        <v>1200000</v>
      </c>
    </row>
    <row r="4" spans="1:6" x14ac:dyDescent="0.3">
      <c r="A4" t="s">
        <v>853</v>
      </c>
      <c r="B4" t="s">
        <v>856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976</v>
      </c>
      <c r="B5" t="s">
        <v>977</v>
      </c>
      <c r="C5">
        <v>1000</v>
      </c>
      <c r="D5" t="s">
        <v>266</v>
      </c>
      <c r="F5">
        <v>1000</v>
      </c>
    </row>
    <row r="6" spans="1:6" x14ac:dyDescent="0.3">
      <c r="A6" t="s">
        <v>1227</v>
      </c>
      <c r="B6" t="s">
        <v>1228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1759</v>
      </c>
      <c r="B7" t="s">
        <v>1772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1760</v>
      </c>
      <c r="B8" t="s">
        <v>1768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1761</v>
      </c>
      <c r="B9" t="s">
        <v>1769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1762</v>
      </c>
      <c r="B10" t="s">
        <v>977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1991</v>
      </c>
      <c r="B11" t="s">
        <v>856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1990</v>
      </c>
      <c r="B12" t="s">
        <v>854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1978</v>
      </c>
      <c r="B13" t="s">
        <v>855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2242</v>
      </c>
      <c r="C1" s="3" t="s">
        <v>2244</v>
      </c>
      <c r="D1" s="3" t="s">
        <v>2243</v>
      </c>
      <c r="E1" s="3" t="s">
        <v>2241</v>
      </c>
    </row>
    <row r="2" spans="1:5" x14ac:dyDescent="0.3">
      <c r="A2" t="s">
        <v>1069</v>
      </c>
      <c r="B2" t="s">
        <v>1074</v>
      </c>
      <c r="C2" t="s">
        <v>1059</v>
      </c>
      <c r="D2" t="s">
        <v>2245</v>
      </c>
      <c r="E2" s="4">
        <v>44623</v>
      </c>
    </row>
    <row r="3" spans="1:5" x14ac:dyDescent="0.3">
      <c r="A3" t="s">
        <v>1069</v>
      </c>
      <c r="B3" t="s">
        <v>1075</v>
      </c>
      <c r="C3" t="s">
        <v>1060</v>
      </c>
      <c r="D3" t="s">
        <v>2246</v>
      </c>
      <c r="E3" s="4">
        <v>44084</v>
      </c>
    </row>
    <row r="4" spans="1:5" x14ac:dyDescent="0.3">
      <c r="A4" t="s">
        <v>1069</v>
      </c>
      <c r="B4" t="s">
        <v>1076</v>
      </c>
      <c r="C4" t="s">
        <v>1070</v>
      </c>
      <c r="D4" t="s">
        <v>2247</v>
      </c>
      <c r="E4" s="4">
        <v>36443</v>
      </c>
    </row>
    <row r="5" spans="1:5" x14ac:dyDescent="0.3">
      <c r="A5" t="s">
        <v>1073</v>
      </c>
      <c r="B5" t="s">
        <v>1077</v>
      </c>
      <c r="C5" t="s">
        <v>1072</v>
      </c>
      <c r="D5" t="s">
        <v>2248</v>
      </c>
      <c r="E5" s="4">
        <v>42986</v>
      </c>
    </row>
    <row r="6" spans="1:5" x14ac:dyDescent="0.3">
      <c r="A6" t="s">
        <v>1222</v>
      </c>
      <c r="B6" t="s">
        <v>1237</v>
      </c>
      <c r="C6" t="s">
        <v>1233</v>
      </c>
      <c r="D6" t="s">
        <v>2248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1051</v>
      </c>
      <c r="C1" s="3" t="s">
        <v>1095</v>
      </c>
      <c r="D1" s="3" t="s">
        <v>1052</v>
      </c>
      <c r="E1" s="3" t="s">
        <v>1053</v>
      </c>
      <c r="F1" s="3" t="s">
        <v>1085</v>
      </c>
      <c r="G1" s="3" t="s">
        <v>1086</v>
      </c>
    </row>
    <row r="2" spans="1:7" x14ac:dyDescent="0.3">
      <c r="A2" t="s">
        <v>1069</v>
      </c>
      <c r="B2" t="s">
        <v>1074</v>
      </c>
      <c r="C2" t="s">
        <v>1059</v>
      </c>
      <c r="D2" t="s">
        <v>1078</v>
      </c>
      <c r="E2" t="s">
        <v>1083</v>
      </c>
      <c r="F2">
        <v>1</v>
      </c>
      <c r="G2">
        <v>3</v>
      </c>
    </row>
    <row r="3" spans="1:7" x14ac:dyDescent="0.3">
      <c r="A3" t="s">
        <v>1069</v>
      </c>
      <c r="B3" t="s">
        <v>1075</v>
      </c>
      <c r="C3" t="s">
        <v>1060</v>
      </c>
      <c r="D3" t="s">
        <v>1079</v>
      </c>
      <c r="E3" t="s">
        <v>1084</v>
      </c>
      <c r="F3">
        <v>4</v>
      </c>
      <c r="G3">
        <v>1</v>
      </c>
    </row>
    <row r="4" spans="1:7" x14ac:dyDescent="0.3">
      <c r="A4" t="s">
        <v>1069</v>
      </c>
      <c r="B4" t="s">
        <v>1076</v>
      </c>
      <c r="C4" t="s">
        <v>1070</v>
      </c>
      <c r="D4" t="s">
        <v>1080</v>
      </c>
      <c r="E4" t="s">
        <v>1082</v>
      </c>
      <c r="F4">
        <v>0</v>
      </c>
      <c r="G4">
        <v>0</v>
      </c>
    </row>
    <row r="5" spans="1:7" x14ac:dyDescent="0.3">
      <c r="A5" t="s">
        <v>1073</v>
      </c>
      <c r="B5" t="s">
        <v>1077</v>
      </c>
      <c r="C5" t="s">
        <v>1072</v>
      </c>
      <c r="D5" t="s">
        <v>1081</v>
      </c>
      <c r="E5" t="s">
        <v>1087</v>
      </c>
      <c r="F5">
        <v>5</v>
      </c>
      <c r="G5">
        <v>1</v>
      </c>
    </row>
    <row r="6" spans="1:7" x14ac:dyDescent="0.3">
      <c r="A6" t="s">
        <v>1222</v>
      </c>
      <c r="B6" t="s">
        <v>1237</v>
      </c>
      <c r="C6" t="s">
        <v>1233</v>
      </c>
      <c r="D6" t="s">
        <v>1229</v>
      </c>
      <c r="E6" t="s">
        <v>1230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1054</v>
      </c>
      <c r="C1" s="3" t="s">
        <v>1055</v>
      </c>
      <c r="D1" s="3" t="s">
        <v>1056</v>
      </c>
      <c r="E1" s="3" t="s">
        <v>1057</v>
      </c>
      <c r="F1" s="3" t="s">
        <v>1058</v>
      </c>
    </row>
    <row r="2" spans="1:6" x14ac:dyDescent="0.3">
      <c r="A2" t="s">
        <v>1088</v>
      </c>
      <c r="B2" t="s">
        <v>1091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1088</v>
      </c>
      <c r="B3" t="s">
        <v>1092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1088</v>
      </c>
      <c r="B4" t="s">
        <v>1093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1089</v>
      </c>
      <c r="B5" t="s">
        <v>1096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1090</v>
      </c>
      <c r="B6" t="s">
        <v>1094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1232</v>
      </c>
      <c r="B7" t="s">
        <v>1231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1274</v>
      </c>
      <c r="C1" s="3" t="s">
        <v>1420</v>
      </c>
      <c r="D1" s="3" t="s">
        <v>1421</v>
      </c>
      <c r="E1" s="3" t="s">
        <v>1353</v>
      </c>
      <c r="F1" s="3" t="s">
        <v>1414</v>
      </c>
      <c r="G1" s="3" t="s">
        <v>1264</v>
      </c>
      <c r="H1" s="3" t="s">
        <v>1257</v>
      </c>
      <c r="I1" s="3" t="s">
        <v>1258</v>
      </c>
      <c r="J1" s="3" t="s">
        <v>1259</v>
      </c>
      <c r="K1" s="3" t="s">
        <v>1260</v>
      </c>
      <c r="L1" s="3" t="s">
        <v>1354</v>
      </c>
      <c r="M1" s="3" t="s">
        <v>1261</v>
      </c>
      <c r="N1" s="3" t="s">
        <v>1276</v>
      </c>
      <c r="O1" s="3" t="s">
        <v>1262</v>
      </c>
      <c r="P1" s="3" t="s">
        <v>1415</v>
      </c>
      <c r="Q1" s="3" t="s">
        <v>1263</v>
      </c>
      <c r="R1" s="3" t="s">
        <v>1254</v>
      </c>
      <c r="S1" s="3" t="s">
        <v>1255</v>
      </c>
      <c r="T1" s="3" t="s">
        <v>1256</v>
      </c>
      <c r="U1" s="3" t="s">
        <v>1416</v>
      </c>
      <c r="V1" s="3" t="s">
        <v>1324</v>
      </c>
      <c r="W1" s="19" t="s">
        <v>1417</v>
      </c>
      <c r="X1" s="19" t="s">
        <v>1418</v>
      </c>
      <c r="Y1" s="19" t="s">
        <v>1373</v>
      </c>
      <c r="Z1" s="19" t="s">
        <v>1374</v>
      </c>
      <c r="AA1" s="19" t="s">
        <v>1375</v>
      </c>
      <c r="AB1" s="19" t="s">
        <v>1376</v>
      </c>
      <c r="AC1" s="19" t="s">
        <v>1377</v>
      </c>
      <c r="AD1" s="3" t="s">
        <v>1383</v>
      </c>
      <c r="AE1" s="3" t="s">
        <v>1384</v>
      </c>
      <c r="AF1" s="3" t="s">
        <v>1391</v>
      </c>
      <c r="AG1" s="3" t="s">
        <v>1411</v>
      </c>
      <c r="AH1" s="3" t="s">
        <v>1407</v>
      </c>
      <c r="AI1" s="3" t="s">
        <v>1392</v>
      </c>
      <c r="AJ1" s="3" t="s">
        <v>1412</v>
      </c>
      <c r="AK1" s="3" t="s">
        <v>1408</v>
      </c>
      <c r="AL1" s="3" t="s">
        <v>1393</v>
      </c>
      <c r="AM1" s="3" t="s">
        <v>1394</v>
      </c>
      <c r="AN1" s="3" t="s">
        <v>1395</v>
      </c>
      <c r="AO1" s="3" t="s">
        <v>1396</v>
      </c>
      <c r="AP1" s="3" t="s">
        <v>1397</v>
      </c>
      <c r="AQ1" s="3" t="s">
        <v>1398</v>
      </c>
      <c r="AR1" s="3" t="s">
        <v>1413</v>
      </c>
      <c r="AS1" s="3" t="s">
        <v>1399</v>
      </c>
      <c r="AT1" s="3" t="s">
        <v>1400</v>
      </c>
      <c r="AU1" s="3" t="s">
        <v>1403</v>
      </c>
      <c r="AV1" s="3" t="s">
        <v>1401</v>
      </c>
      <c r="AW1" s="3" t="s">
        <v>1404</v>
      </c>
      <c r="AX1" s="3" t="s">
        <v>1402</v>
      </c>
    </row>
    <row r="2" spans="1:50" x14ac:dyDescent="0.3">
      <c r="A2" t="s">
        <v>1267</v>
      </c>
      <c r="B2" t="s">
        <v>246</v>
      </c>
      <c r="H2" t="s">
        <v>1272</v>
      </c>
      <c r="J2" t="s">
        <v>1278</v>
      </c>
      <c r="K2" t="s">
        <v>1329</v>
      </c>
      <c r="M2" t="s">
        <v>1275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1284</v>
      </c>
      <c r="AG2" s="20" t="s">
        <v>3</v>
      </c>
      <c r="AH2" t="s">
        <v>1406</v>
      </c>
      <c r="AI2" t="s">
        <v>1409</v>
      </c>
      <c r="AJ2" s="20" t="s">
        <v>570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1266</v>
      </c>
      <c r="B3" t="s">
        <v>653</v>
      </c>
      <c r="C3" t="s">
        <v>1422</v>
      </c>
      <c r="D3" t="s">
        <v>1423</v>
      </c>
      <c r="E3" t="s">
        <v>1224</v>
      </c>
      <c r="F3" s="4">
        <v>45170</v>
      </c>
      <c r="G3" s="4"/>
      <c r="H3" t="s">
        <v>1269</v>
      </c>
      <c r="I3" t="s">
        <v>651</v>
      </c>
      <c r="J3" t="s">
        <v>1273</v>
      </c>
      <c r="K3" t="s">
        <v>1330</v>
      </c>
      <c r="L3" t="s">
        <v>1355</v>
      </c>
      <c r="M3" t="s">
        <v>7</v>
      </c>
      <c r="N3" t="s">
        <v>1356</v>
      </c>
      <c r="O3" s="4">
        <v>45323</v>
      </c>
      <c r="P3" t="s">
        <v>246</v>
      </c>
      <c r="Q3" t="s">
        <v>1277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1265</v>
      </c>
      <c r="B4" t="s">
        <v>247</v>
      </c>
      <c r="F4" s="4">
        <f ca="1">TODAY()</f>
        <v>46059</v>
      </c>
      <c r="G4" s="4"/>
      <c r="H4" t="s">
        <v>1270</v>
      </c>
      <c r="I4" t="s">
        <v>1332</v>
      </c>
      <c r="J4" t="s">
        <v>1164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1268</v>
      </c>
      <c r="B5" t="s">
        <v>487</v>
      </c>
      <c r="H5" t="s">
        <v>1271</v>
      </c>
      <c r="J5" t="s">
        <v>1328</v>
      </c>
      <c r="K5" t="s">
        <v>1329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1322</v>
      </c>
      <c r="B6" t="s">
        <v>246</v>
      </c>
      <c r="H6" t="s">
        <v>1323</v>
      </c>
      <c r="J6" t="s">
        <v>295</v>
      </c>
      <c r="K6" t="s">
        <v>1330</v>
      </c>
      <c r="L6" t="s">
        <v>1331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1321</v>
      </c>
      <c r="B7" t="s">
        <v>246</v>
      </c>
      <c r="H7" t="s">
        <v>1323</v>
      </c>
      <c r="J7" t="s">
        <v>1273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1325</v>
      </c>
      <c r="B8" t="s">
        <v>246</v>
      </c>
      <c r="H8" t="s">
        <v>1326</v>
      </c>
      <c r="J8" t="s">
        <v>1327</v>
      </c>
      <c r="K8" t="s">
        <v>1279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1370</v>
      </c>
      <c r="B9" s="20" t="s">
        <v>246</v>
      </c>
      <c r="C9" s="20"/>
      <c r="D9" s="20"/>
      <c r="E9" s="20"/>
      <c r="F9" s="20"/>
      <c r="H9" s="20" t="s">
        <v>1372</v>
      </c>
      <c r="I9" s="20">
        <v>77665544</v>
      </c>
      <c r="J9" s="20" t="s">
        <v>1278</v>
      </c>
      <c r="K9" s="20" t="s">
        <v>1279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1284</v>
      </c>
      <c r="AG9" s="20" t="s">
        <v>3</v>
      </c>
      <c r="AH9" t="s">
        <v>1406</v>
      </c>
      <c r="AI9" t="s">
        <v>1409</v>
      </c>
      <c r="AJ9" s="20" t="s">
        <v>570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1371</v>
      </c>
      <c r="B10" s="20" t="s">
        <v>246</v>
      </c>
      <c r="C10" s="20"/>
      <c r="D10" s="20"/>
      <c r="E10" s="20"/>
      <c r="F10" s="20"/>
      <c r="G10" s="20"/>
      <c r="H10" s="20" t="s">
        <v>1372</v>
      </c>
      <c r="I10" s="20"/>
      <c r="J10" t="s">
        <v>1273</v>
      </c>
      <c r="K10" t="s">
        <v>1329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1410</v>
      </c>
      <c r="AG10" s="20" t="s">
        <v>570</v>
      </c>
      <c r="AH10" s="20"/>
      <c r="AI10" t="s">
        <v>1317</v>
      </c>
      <c r="AJ10" s="20" t="s">
        <v>3</v>
      </c>
      <c r="AK10" t="s">
        <v>1318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1344</v>
      </c>
      <c r="B11" t="s">
        <v>246</v>
      </c>
      <c r="H11" t="s">
        <v>1346</v>
      </c>
      <c r="J11" t="s">
        <v>1278</v>
      </c>
      <c r="K11" t="s">
        <v>1279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1345</v>
      </c>
      <c r="B12" t="s">
        <v>246</v>
      </c>
      <c r="H12" t="s">
        <v>1347</v>
      </c>
      <c r="J12" t="s">
        <v>1273</v>
      </c>
      <c r="K12" t="s">
        <v>1329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1381</v>
      </c>
      <c r="B13" t="s">
        <v>246</v>
      </c>
      <c r="H13" t="s">
        <v>1382</v>
      </c>
      <c r="J13" t="s">
        <v>1164</v>
      </c>
      <c r="K13" t="s">
        <v>1279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2138</v>
      </c>
      <c r="B14" t="s">
        <v>764</v>
      </c>
      <c r="G14" s="4">
        <v>45744</v>
      </c>
      <c r="H14" t="s">
        <v>2135</v>
      </c>
      <c r="J14" t="s">
        <v>1328</v>
      </c>
      <c r="K14" t="s">
        <v>1279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2136</v>
      </c>
      <c r="AG14" t="s">
        <v>570</v>
      </c>
      <c r="AH14" t="s">
        <v>2137</v>
      </c>
      <c r="AI14" t="s">
        <v>807</v>
      </c>
      <c r="AJ14" t="s">
        <v>3</v>
      </c>
      <c r="AK14" t="s">
        <v>1318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2139</v>
      </c>
      <c r="B15" t="s">
        <v>764</v>
      </c>
      <c r="G15" s="4">
        <v>45744</v>
      </c>
      <c r="H15" t="s">
        <v>2140</v>
      </c>
      <c r="J15" t="s">
        <v>1278</v>
      </c>
      <c r="K15" t="s">
        <v>1329</v>
      </c>
      <c r="M15" t="s">
        <v>1275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1284</v>
      </c>
      <c r="AG15" s="20" t="s">
        <v>3</v>
      </c>
      <c r="AH15" t="s">
        <v>1406</v>
      </c>
      <c r="AI15" t="s">
        <v>1409</v>
      </c>
      <c r="AJ15" s="20" t="s">
        <v>570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2306</v>
      </c>
      <c r="B16" t="s">
        <v>764</v>
      </c>
      <c r="G16" s="4">
        <v>45744</v>
      </c>
      <c r="H16" t="s">
        <v>2307</v>
      </c>
      <c r="J16" t="s">
        <v>1328</v>
      </c>
      <c r="K16" t="s">
        <v>1279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2136</v>
      </c>
      <c r="AG16" t="s">
        <v>570</v>
      </c>
      <c r="AH16" t="s">
        <v>2137</v>
      </c>
      <c r="AI16" t="s">
        <v>807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2070</v>
      </c>
      <c r="C1" s="19" t="s">
        <v>2071</v>
      </c>
      <c r="D1" s="19" t="s">
        <v>2072</v>
      </c>
      <c r="E1" s="19" t="s">
        <v>2073</v>
      </c>
      <c r="F1" s="19" t="s">
        <v>1300</v>
      </c>
      <c r="G1" s="19" t="s">
        <v>1301</v>
      </c>
      <c r="H1" s="19" t="s">
        <v>1302</v>
      </c>
      <c r="I1" s="19" t="s">
        <v>1303</v>
      </c>
      <c r="J1" s="19" t="s">
        <v>2074</v>
      </c>
      <c r="K1" s="19" t="s">
        <v>2075</v>
      </c>
      <c r="L1" s="19" t="s">
        <v>2076</v>
      </c>
      <c r="M1" s="19" t="s">
        <v>2077</v>
      </c>
      <c r="N1" s="19" t="s">
        <v>2078</v>
      </c>
      <c r="O1" s="19" t="s">
        <v>2079</v>
      </c>
      <c r="P1" s="19" t="s">
        <v>2080</v>
      </c>
      <c r="Q1" s="19" t="s">
        <v>2081</v>
      </c>
      <c r="R1" s="19" t="s">
        <v>2082</v>
      </c>
      <c r="S1" s="19" t="s">
        <v>2083</v>
      </c>
      <c r="T1" s="19" t="s">
        <v>2084</v>
      </c>
      <c r="U1" s="19" t="s">
        <v>2085</v>
      </c>
      <c r="V1" s="19" t="s">
        <v>2086</v>
      </c>
      <c r="W1" s="19" t="s">
        <v>2087</v>
      </c>
      <c r="X1" s="19" t="s">
        <v>2088</v>
      </c>
      <c r="Y1" s="19" t="s">
        <v>2089</v>
      </c>
      <c r="Z1" s="19" t="s">
        <v>2090</v>
      </c>
      <c r="AA1" s="19" t="s">
        <v>2091</v>
      </c>
      <c r="AB1" s="19" t="s">
        <v>2092</v>
      </c>
      <c r="AC1" s="19" t="s">
        <v>2093</v>
      </c>
      <c r="AD1" s="19" t="s">
        <v>2094</v>
      </c>
      <c r="AE1" s="19" t="s">
        <v>2095</v>
      </c>
      <c r="AF1" s="19" t="s">
        <v>2096</v>
      </c>
      <c r="AG1" s="19" t="s">
        <v>2097</v>
      </c>
      <c r="AH1" s="19" t="s">
        <v>2098</v>
      </c>
      <c r="AI1" s="19" t="s">
        <v>2099</v>
      </c>
      <c r="AJ1" s="19" t="s">
        <v>2100</v>
      </c>
    </row>
    <row r="2" spans="1:36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763</v>
      </c>
      <c r="AF2" s="20" t="s">
        <v>572</v>
      </c>
      <c r="AG2" s="20" t="s">
        <v>764</v>
      </c>
      <c r="AH2" s="20" t="s">
        <v>763</v>
      </c>
      <c r="AI2" s="20" t="s">
        <v>572</v>
      </c>
      <c r="AJ2" s="20" t="s">
        <v>572</v>
      </c>
    </row>
    <row r="3" spans="1:36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764</v>
      </c>
    </row>
    <row r="4" spans="1:36" x14ac:dyDescent="0.3">
      <c r="A4" s="20" t="s">
        <v>1219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/>
      <c r="Z4" s="20" t="s">
        <v>763</v>
      </c>
      <c r="AA4" s="20" t="s">
        <v>763</v>
      </c>
      <c r="AB4" s="20" t="s">
        <v>763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1357</v>
      </c>
      <c r="C1" s="19" t="s">
        <v>1358</v>
      </c>
      <c r="D1" s="19" t="s">
        <v>1359</v>
      </c>
      <c r="E1" s="19" t="s">
        <v>1360</v>
      </c>
      <c r="F1" s="19" t="s">
        <v>1361</v>
      </c>
      <c r="G1" s="19" t="s">
        <v>1362</v>
      </c>
    </row>
    <row r="2" spans="1:7" x14ac:dyDescent="0.3">
      <c r="A2" s="20" t="s">
        <v>1363</v>
      </c>
      <c r="B2" s="20" t="s">
        <v>1364</v>
      </c>
      <c r="C2" s="20" t="s">
        <v>1378</v>
      </c>
      <c r="D2" s="21">
        <v>45352</v>
      </c>
      <c r="E2" s="21">
        <v>45427</v>
      </c>
      <c r="F2" s="20">
        <v>550000</v>
      </c>
      <c r="G2" s="20" t="s">
        <v>1365</v>
      </c>
    </row>
    <row r="3" spans="1:7" x14ac:dyDescent="0.3">
      <c r="A3" s="20" t="s">
        <v>1363</v>
      </c>
      <c r="B3" s="20" t="s">
        <v>1366</v>
      </c>
      <c r="C3" s="20" t="s">
        <v>1379</v>
      </c>
      <c r="D3" s="21">
        <v>45352</v>
      </c>
      <c r="E3" s="21">
        <v>45427</v>
      </c>
      <c r="F3" s="20">
        <v>550000</v>
      </c>
      <c r="G3" s="20" t="s">
        <v>1367</v>
      </c>
    </row>
    <row r="4" spans="1:7" x14ac:dyDescent="0.3">
      <c r="A4" s="20" t="s">
        <v>1368</v>
      </c>
      <c r="B4" s="20" t="s">
        <v>1366</v>
      </c>
      <c r="C4" s="20" t="s">
        <v>1380</v>
      </c>
      <c r="D4" s="21">
        <v>45463</v>
      </c>
      <c r="E4" s="21">
        <v>45442</v>
      </c>
      <c r="F4" s="20">
        <v>1200.5</v>
      </c>
      <c r="G4" s="20" t="s">
        <v>1369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1385</v>
      </c>
      <c r="C1" s="3" t="s">
        <v>1386</v>
      </c>
      <c r="D1" s="3" t="s">
        <v>1387</v>
      </c>
    </row>
    <row r="2" spans="1:4" x14ac:dyDescent="0.3">
      <c r="A2" t="s">
        <v>1388</v>
      </c>
      <c r="B2" t="s">
        <v>1177</v>
      </c>
      <c r="C2" t="s">
        <v>3</v>
      </c>
      <c r="D2" t="s">
        <v>316</v>
      </c>
    </row>
    <row r="3" spans="1:4" x14ac:dyDescent="0.3">
      <c r="A3" t="s">
        <v>1388</v>
      </c>
      <c r="B3" t="s">
        <v>1821</v>
      </c>
      <c r="C3" t="s">
        <v>3</v>
      </c>
    </row>
    <row r="4" spans="1:4" x14ac:dyDescent="0.3">
      <c r="A4" t="s">
        <v>1388</v>
      </c>
      <c r="B4" t="s">
        <v>1284</v>
      </c>
      <c r="C4" t="s">
        <v>3</v>
      </c>
      <c r="D4" t="s">
        <v>1285</v>
      </c>
    </row>
    <row r="5" spans="1:4" x14ac:dyDescent="0.3">
      <c r="A5" t="s">
        <v>1388</v>
      </c>
      <c r="B5" t="s">
        <v>1390</v>
      </c>
      <c r="C5" t="s">
        <v>570</v>
      </c>
    </row>
    <row r="6" spans="1:4" x14ac:dyDescent="0.3">
      <c r="A6" t="s">
        <v>1388</v>
      </c>
      <c r="B6" t="s">
        <v>1822</v>
      </c>
      <c r="C6" t="s">
        <v>570</v>
      </c>
    </row>
    <row r="7" spans="1:4" x14ac:dyDescent="0.3">
      <c r="A7" t="s">
        <v>1389</v>
      </c>
      <c r="B7" t="s">
        <v>1284</v>
      </c>
      <c r="C7" t="s">
        <v>3</v>
      </c>
      <c r="D7" t="s">
        <v>1285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</row>
    <row r="2" spans="1:5" x14ac:dyDescent="0.3">
      <c r="A2" t="s">
        <v>650</v>
      </c>
      <c r="B2" t="s">
        <v>2321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1177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1284</v>
      </c>
      <c r="D6" t="s">
        <v>3</v>
      </c>
      <c r="E6" t="s">
        <v>1285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864</v>
      </c>
      <c r="B8" t="s">
        <v>2321</v>
      </c>
      <c r="C8" t="s">
        <v>865</v>
      </c>
      <c r="D8" t="s">
        <v>570</v>
      </c>
    </row>
    <row r="9" spans="1:5" x14ac:dyDescent="0.3">
      <c r="A9" t="s">
        <v>1061</v>
      </c>
      <c r="B9" t="s">
        <v>698</v>
      </c>
      <c r="C9" t="s">
        <v>1284</v>
      </c>
      <c r="D9" t="s">
        <v>3</v>
      </c>
      <c r="E9" t="s">
        <v>1286</v>
      </c>
    </row>
    <row r="10" spans="1:5" x14ac:dyDescent="0.3">
      <c r="A10" t="s">
        <v>1061</v>
      </c>
      <c r="B10" t="s">
        <v>2321</v>
      </c>
      <c r="C10" s="14" t="s">
        <v>1062</v>
      </c>
      <c r="D10" t="s">
        <v>570</v>
      </c>
    </row>
    <row r="11" spans="1:5" x14ac:dyDescent="0.3">
      <c r="A11" t="s">
        <v>1210</v>
      </c>
      <c r="B11" t="s">
        <v>2321</v>
      </c>
      <c r="C11" t="s">
        <v>2103</v>
      </c>
      <c r="D11" t="s">
        <v>570</v>
      </c>
    </row>
    <row r="12" spans="1:5" x14ac:dyDescent="0.3">
      <c r="A12" t="s">
        <v>1313</v>
      </c>
      <c r="B12" t="s">
        <v>1312</v>
      </c>
      <c r="C12" t="s">
        <v>1060</v>
      </c>
      <c r="D12" t="s">
        <v>570</v>
      </c>
    </row>
    <row r="13" spans="1:5" x14ac:dyDescent="0.3">
      <c r="A13" t="s">
        <v>1313</v>
      </c>
      <c r="B13" t="s">
        <v>2321</v>
      </c>
      <c r="C13" t="s">
        <v>1314</v>
      </c>
      <c r="D13" t="s">
        <v>570</v>
      </c>
    </row>
    <row r="14" spans="1:5" x14ac:dyDescent="0.3">
      <c r="A14" t="s">
        <v>1313</v>
      </c>
      <c r="B14" t="s">
        <v>2322</v>
      </c>
      <c r="C14" t="s">
        <v>1315</v>
      </c>
      <c r="D14" t="s">
        <v>570</v>
      </c>
    </row>
    <row r="15" spans="1:5" x14ac:dyDescent="0.3">
      <c r="A15" t="s">
        <v>1313</v>
      </c>
      <c r="B15" t="s">
        <v>656</v>
      </c>
      <c r="C15" t="s">
        <v>1177</v>
      </c>
      <c r="D15" t="s">
        <v>3</v>
      </c>
      <c r="E15" t="s">
        <v>316</v>
      </c>
    </row>
    <row r="16" spans="1:5" x14ac:dyDescent="0.3">
      <c r="A16" t="s">
        <v>1313</v>
      </c>
      <c r="B16" t="s">
        <v>698</v>
      </c>
      <c r="C16" t="s">
        <v>1316</v>
      </c>
      <c r="D16" t="s">
        <v>3</v>
      </c>
      <c r="E16" t="s">
        <v>580</v>
      </c>
    </row>
    <row r="17" spans="1:5" x14ac:dyDescent="0.3">
      <c r="A17" t="s">
        <v>1313</v>
      </c>
      <c r="B17" t="s">
        <v>658</v>
      </c>
      <c r="C17" t="s">
        <v>1317</v>
      </c>
      <c r="D17" t="s">
        <v>3</v>
      </c>
      <c r="E17" t="s">
        <v>1318</v>
      </c>
    </row>
    <row r="18" spans="1:5" x14ac:dyDescent="0.3">
      <c r="A18" t="s">
        <v>1313</v>
      </c>
      <c r="B18" t="s">
        <v>657</v>
      </c>
      <c r="C18" t="s">
        <v>1821</v>
      </c>
      <c r="D18" t="s">
        <v>3</v>
      </c>
      <c r="E18" t="s">
        <v>580</v>
      </c>
    </row>
    <row r="19" spans="1:5" x14ac:dyDescent="0.3">
      <c r="A19" t="s">
        <v>1319</v>
      </c>
      <c r="B19" t="s">
        <v>1312</v>
      </c>
      <c r="C19" t="s">
        <v>1320</v>
      </c>
      <c r="D19" t="s">
        <v>570</v>
      </c>
    </row>
    <row r="20" spans="1:5" x14ac:dyDescent="0.3">
      <c r="A20" t="s">
        <v>2177</v>
      </c>
      <c r="B20" t="s">
        <v>2191</v>
      </c>
      <c r="C20" t="s">
        <v>1177</v>
      </c>
      <c r="D20" t="s">
        <v>3</v>
      </c>
      <c r="E20" t="s">
        <v>661</v>
      </c>
    </row>
    <row r="21" spans="1:5" x14ac:dyDescent="0.3">
      <c r="A21" t="s">
        <v>2177</v>
      </c>
      <c r="B21" t="s">
        <v>2199</v>
      </c>
      <c r="C21" t="s">
        <v>2192</v>
      </c>
      <c r="D21" t="s">
        <v>570</v>
      </c>
    </row>
    <row r="22" spans="1:5" x14ac:dyDescent="0.3">
      <c r="A22" t="s">
        <v>2193</v>
      </c>
      <c r="B22" t="s">
        <v>2191</v>
      </c>
      <c r="C22" t="s">
        <v>2200</v>
      </c>
      <c r="D22" t="s">
        <v>570</v>
      </c>
    </row>
    <row r="23" spans="1:5" x14ac:dyDescent="0.3">
      <c r="A23" t="s">
        <v>2231</v>
      </c>
      <c r="B23" t="s">
        <v>2233</v>
      </c>
      <c r="C23" t="s">
        <v>1177</v>
      </c>
      <c r="D23" t="s">
        <v>3</v>
      </c>
      <c r="E23" t="s">
        <v>661</v>
      </c>
    </row>
    <row r="24" spans="1:5" x14ac:dyDescent="0.3">
      <c r="A24" t="s">
        <v>2231</v>
      </c>
      <c r="B24" t="s">
        <v>2234</v>
      </c>
      <c r="C24" t="s">
        <v>660</v>
      </c>
      <c r="D24" t="s">
        <v>570</v>
      </c>
    </row>
    <row r="25" spans="1:5" x14ac:dyDescent="0.3">
      <c r="A25" t="s">
        <v>2232</v>
      </c>
      <c r="B25" t="s">
        <v>2235</v>
      </c>
      <c r="C25" t="s">
        <v>1177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39"/>
  <sheetViews>
    <sheetView topLeftCell="F1" workbookViewId="0">
      <pane ySplit="1" topLeftCell="A2" activePane="bottomLeft" state="frozen"/>
      <selection pane="bottomLeft" activeCell="V27" sqref="V27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2324</v>
      </c>
      <c r="G1" s="3" t="s">
        <v>1472</v>
      </c>
      <c r="H1" s="3" t="s">
        <v>2325</v>
      </c>
      <c r="I1" s="3" t="s">
        <v>2252</v>
      </c>
      <c r="J1" s="3" t="s">
        <v>2253</v>
      </c>
      <c r="K1" s="3" t="s">
        <v>2254</v>
      </c>
      <c r="L1" s="3" t="s">
        <v>2255</v>
      </c>
      <c r="M1" s="3" t="s">
        <v>2256</v>
      </c>
      <c r="N1" s="3" t="s">
        <v>2257</v>
      </c>
      <c r="O1" s="3" t="s">
        <v>2258</v>
      </c>
      <c r="P1" s="3" t="s">
        <v>2259</v>
      </c>
      <c r="Q1" s="3" t="s">
        <v>2326</v>
      </c>
      <c r="R1" s="3" t="s">
        <v>2327</v>
      </c>
      <c r="S1" s="3" t="s">
        <v>2328</v>
      </c>
      <c r="T1" s="3" t="s">
        <v>2329</v>
      </c>
      <c r="U1" s="3" t="s">
        <v>2407</v>
      </c>
      <c r="V1" s="3" t="s">
        <v>2365</v>
      </c>
    </row>
    <row r="2" spans="1:22" ht="17.399999999999999" customHeight="1" x14ac:dyDescent="0.3">
      <c r="A2" t="s">
        <v>273</v>
      </c>
      <c r="C2">
        <v>4361431</v>
      </c>
      <c r="D2" t="s">
        <v>2310</v>
      </c>
      <c r="I2">
        <v>48</v>
      </c>
      <c r="J2">
        <v>53</v>
      </c>
      <c r="K2">
        <v>23.888000000000002</v>
      </c>
      <c r="L2" t="s">
        <v>1747</v>
      </c>
      <c r="M2">
        <v>123</v>
      </c>
      <c r="N2">
        <v>30</v>
      </c>
      <c r="O2">
        <v>14.875999999999999</v>
      </c>
      <c r="P2" t="s">
        <v>2261</v>
      </c>
      <c r="V2" s="14" t="s">
        <v>2366</v>
      </c>
    </row>
    <row r="3" spans="1:22" x14ac:dyDescent="0.3">
      <c r="A3" t="s">
        <v>325</v>
      </c>
      <c r="H3" t="s">
        <v>2347</v>
      </c>
    </row>
    <row r="4" spans="1:22" x14ac:dyDescent="0.3">
      <c r="A4" t="s">
        <v>278</v>
      </c>
      <c r="D4" t="s">
        <v>2346</v>
      </c>
    </row>
    <row r="5" spans="1:22" x14ac:dyDescent="0.3">
      <c r="A5" t="s">
        <v>276</v>
      </c>
      <c r="B5" t="s">
        <v>2348</v>
      </c>
    </row>
    <row r="6" spans="1:22" x14ac:dyDescent="0.3">
      <c r="A6" t="s">
        <v>279</v>
      </c>
      <c r="B6" t="s">
        <v>1618</v>
      </c>
    </row>
    <row r="7" spans="1:22" x14ac:dyDescent="0.3">
      <c r="A7" t="s">
        <v>1599</v>
      </c>
      <c r="B7" t="s">
        <v>2159</v>
      </c>
      <c r="D7" t="s">
        <v>1730</v>
      </c>
    </row>
    <row r="8" spans="1:22" x14ac:dyDescent="0.3">
      <c r="A8" t="s">
        <v>271</v>
      </c>
      <c r="B8" t="s">
        <v>1575</v>
      </c>
    </row>
    <row r="9" spans="1:22" x14ac:dyDescent="0.3">
      <c r="A9" t="s">
        <v>272</v>
      </c>
      <c r="B9" t="s">
        <v>1576</v>
      </c>
    </row>
    <row r="10" spans="1:22" x14ac:dyDescent="0.3">
      <c r="A10" t="s">
        <v>1459</v>
      </c>
      <c r="B10" t="s">
        <v>1577</v>
      </c>
      <c r="C10">
        <v>1821391</v>
      </c>
      <c r="D10" t="s">
        <v>2309</v>
      </c>
      <c r="E10" t="s">
        <v>1311</v>
      </c>
      <c r="I10">
        <v>49</v>
      </c>
      <c r="J10">
        <v>54</v>
      </c>
      <c r="K10">
        <v>37</v>
      </c>
      <c r="L10" t="s">
        <v>1747</v>
      </c>
      <c r="M10">
        <v>123</v>
      </c>
      <c r="N10" s="16" t="s">
        <v>2260</v>
      </c>
      <c r="O10">
        <v>47</v>
      </c>
      <c r="P10" t="s">
        <v>2261</v>
      </c>
    </row>
    <row r="11" spans="1:22" x14ac:dyDescent="0.3">
      <c r="A11" t="s">
        <v>394</v>
      </c>
      <c r="B11" t="s">
        <v>1618</v>
      </c>
    </row>
    <row r="12" spans="1:22" x14ac:dyDescent="0.3">
      <c r="A12" t="s">
        <v>1290</v>
      </c>
      <c r="G12" t="s">
        <v>2343</v>
      </c>
      <c r="I12">
        <v>49</v>
      </c>
      <c r="J12">
        <v>15</v>
      </c>
      <c r="K12">
        <v>21.26</v>
      </c>
      <c r="L12" t="s">
        <v>1747</v>
      </c>
      <c r="M12">
        <v>123</v>
      </c>
      <c r="N12" s="16">
        <v>10</v>
      </c>
      <c r="O12">
        <v>40.9</v>
      </c>
      <c r="P12" t="s">
        <v>2261</v>
      </c>
      <c r="Q12" t="s">
        <v>2344</v>
      </c>
      <c r="V12" t="s">
        <v>2369</v>
      </c>
    </row>
    <row r="13" spans="1:22" x14ac:dyDescent="0.3">
      <c r="A13" t="s">
        <v>1288</v>
      </c>
      <c r="B13" t="s">
        <v>1579</v>
      </c>
    </row>
    <row r="14" spans="1:22" x14ac:dyDescent="0.3">
      <c r="A14" t="s">
        <v>1291</v>
      </c>
      <c r="B14" t="s">
        <v>1581</v>
      </c>
    </row>
    <row r="15" spans="1:22" x14ac:dyDescent="0.3">
      <c r="A15" t="s">
        <v>1289</v>
      </c>
      <c r="B15" t="s">
        <v>1582</v>
      </c>
    </row>
    <row r="16" spans="1:22" x14ac:dyDescent="0.3">
      <c r="A16" t="s">
        <v>664</v>
      </c>
      <c r="B16" t="s">
        <v>1583</v>
      </c>
      <c r="C16">
        <v>1821391</v>
      </c>
      <c r="D16" t="s">
        <v>2332</v>
      </c>
      <c r="E16" t="s">
        <v>1715</v>
      </c>
      <c r="H16" t="s">
        <v>2331</v>
      </c>
      <c r="Q16" t="s">
        <v>2330</v>
      </c>
      <c r="V16" t="s">
        <v>2367</v>
      </c>
    </row>
    <row r="17" spans="1:22" x14ac:dyDescent="0.3">
      <c r="A17" t="s">
        <v>1292</v>
      </c>
      <c r="B17" t="s">
        <v>1580</v>
      </c>
      <c r="V17" t="s">
        <v>1580</v>
      </c>
    </row>
    <row r="18" spans="1:22" x14ac:dyDescent="0.3">
      <c r="A18" t="s">
        <v>1293</v>
      </c>
      <c r="B18" t="s">
        <v>1584</v>
      </c>
      <c r="V18" t="s">
        <v>1584</v>
      </c>
    </row>
    <row r="19" spans="1:22" x14ac:dyDescent="0.3">
      <c r="A19" t="s">
        <v>671</v>
      </c>
      <c r="B19" t="s">
        <v>1585</v>
      </c>
    </row>
    <row r="20" spans="1:22" x14ac:dyDescent="0.3">
      <c r="A20" t="s">
        <v>1294</v>
      </c>
      <c r="B20" t="s">
        <v>1586</v>
      </c>
    </row>
    <row r="21" spans="1:22" x14ac:dyDescent="0.3">
      <c r="A21" t="s">
        <v>1295</v>
      </c>
      <c r="B21" t="s">
        <v>816</v>
      </c>
      <c r="V21" t="s">
        <v>816</v>
      </c>
    </row>
    <row r="22" spans="1:22" x14ac:dyDescent="0.3">
      <c r="A22" t="s">
        <v>1296</v>
      </c>
      <c r="B22" t="s">
        <v>1587</v>
      </c>
      <c r="V22" t="s">
        <v>1587</v>
      </c>
    </row>
    <row r="23" spans="1:22" x14ac:dyDescent="0.3">
      <c r="A23" t="s">
        <v>1297</v>
      </c>
      <c r="B23" t="s">
        <v>1588</v>
      </c>
    </row>
    <row r="24" spans="1:22" x14ac:dyDescent="0.3">
      <c r="A24" t="s">
        <v>1298</v>
      </c>
      <c r="B24" t="s">
        <v>1589</v>
      </c>
    </row>
    <row r="25" spans="1:22" x14ac:dyDescent="0.3">
      <c r="A25" t="s">
        <v>1299</v>
      </c>
      <c r="B25" t="s">
        <v>1590</v>
      </c>
      <c r="D25" t="s">
        <v>2262</v>
      </c>
    </row>
    <row r="26" spans="1:22" x14ac:dyDescent="0.3">
      <c r="A26" t="s">
        <v>1307</v>
      </c>
      <c r="E26" t="s">
        <v>1728</v>
      </c>
      <c r="F26" t="s">
        <v>2339</v>
      </c>
      <c r="H26" t="s">
        <v>2340</v>
      </c>
      <c r="V26" t="s">
        <v>2409</v>
      </c>
    </row>
    <row r="27" spans="1:22" x14ac:dyDescent="0.3">
      <c r="A27" t="s">
        <v>1308</v>
      </c>
      <c r="I27">
        <v>49</v>
      </c>
      <c r="J27">
        <v>15</v>
      </c>
      <c r="K27">
        <v>51.6</v>
      </c>
      <c r="L27" t="s">
        <v>1747</v>
      </c>
      <c r="M27">
        <v>123</v>
      </c>
      <c r="N27">
        <v>10</v>
      </c>
      <c r="O27">
        <v>22.4</v>
      </c>
      <c r="P27" t="s">
        <v>2261</v>
      </c>
    </row>
    <row r="28" spans="1:22" x14ac:dyDescent="0.3">
      <c r="A28" t="s">
        <v>1309</v>
      </c>
      <c r="H28" t="s">
        <v>2320</v>
      </c>
    </row>
    <row r="29" spans="1:22" x14ac:dyDescent="0.3">
      <c r="A29" t="s">
        <v>1310</v>
      </c>
      <c r="F29" t="s">
        <v>2341</v>
      </c>
    </row>
    <row r="30" spans="1:22" x14ac:dyDescent="0.3">
      <c r="A30" t="s">
        <v>1458</v>
      </c>
      <c r="B30" t="s">
        <v>2127</v>
      </c>
      <c r="C30">
        <v>90054549</v>
      </c>
      <c r="D30" t="s">
        <v>1460</v>
      </c>
      <c r="E30" t="s">
        <v>1532</v>
      </c>
    </row>
    <row r="31" spans="1:22" ht="100.8" x14ac:dyDescent="0.3">
      <c r="A31" s="52" t="s">
        <v>1473</v>
      </c>
      <c r="G31" s="14" t="s">
        <v>2113</v>
      </c>
      <c r="H31" s="14"/>
    </row>
    <row r="32" spans="1:22" x14ac:dyDescent="0.3">
      <c r="A32" s="52" t="s">
        <v>2138</v>
      </c>
      <c r="B32" s="14"/>
      <c r="E32" t="s">
        <v>2337</v>
      </c>
      <c r="V32" t="s">
        <v>2408</v>
      </c>
    </row>
    <row r="33" spans="1:22" ht="14.4" customHeight="1" x14ac:dyDescent="0.3">
      <c r="A33" s="52" t="s">
        <v>2141</v>
      </c>
      <c r="B33" s="14" t="s">
        <v>2142</v>
      </c>
      <c r="F33" t="s">
        <v>2338</v>
      </c>
      <c r="V33" s="14" t="s">
        <v>2142</v>
      </c>
    </row>
    <row r="34" spans="1:22" x14ac:dyDescent="0.3">
      <c r="A34" s="52" t="s">
        <v>2151</v>
      </c>
      <c r="B34" t="s">
        <v>2150</v>
      </c>
      <c r="V34" t="s">
        <v>2150</v>
      </c>
    </row>
    <row r="35" spans="1:22" x14ac:dyDescent="0.3">
      <c r="A35" s="52" t="s">
        <v>2178</v>
      </c>
      <c r="B35" t="s">
        <v>2194</v>
      </c>
      <c r="C35">
        <v>90172682</v>
      </c>
      <c r="D35" t="s">
        <v>2397</v>
      </c>
      <c r="E35" t="s">
        <v>2195</v>
      </c>
      <c r="I35">
        <v>49</v>
      </c>
      <c r="J35">
        <v>16</v>
      </c>
      <c r="K35">
        <v>19.010000000000002</v>
      </c>
      <c r="L35" t="s">
        <v>1747</v>
      </c>
      <c r="M35">
        <v>123</v>
      </c>
      <c r="N35">
        <v>8</v>
      </c>
      <c r="O35">
        <v>8.3040000000000003</v>
      </c>
      <c r="P35" t="s">
        <v>2261</v>
      </c>
      <c r="V35" t="s">
        <v>2398</v>
      </c>
    </row>
    <row r="36" spans="1:22" x14ac:dyDescent="0.3">
      <c r="A36" s="52" t="s">
        <v>2179</v>
      </c>
      <c r="B36" t="s">
        <v>2196</v>
      </c>
      <c r="V36" t="s">
        <v>2196</v>
      </c>
    </row>
    <row r="37" spans="1:22" x14ac:dyDescent="0.3">
      <c r="A37" s="52" t="s">
        <v>2308</v>
      </c>
      <c r="B37" s="14"/>
      <c r="E37" t="s">
        <v>2342</v>
      </c>
      <c r="V37" t="s">
        <v>2368</v>
      </c>
    </row>
    <row r="38" spans="1:22" ht="28.8" x14ac:dyDescent="0.3">
      <c r="A38" s="52" t="s">
        <v>2311</v>
      </c>
      <c r="B38" t="s">
        <v>2194</v>
      </c>
      <c r="V38" t="s">
        <v>2194</v>
      </c>
    </row>
    <row r="39" spans="1:22" x14ac:dyDescent="0.3">
      <c r="A39" s="52" t="s">
        <v>2360</v>
      </c>
      <c r="B39" t="s">
        <v>2361</v>
      </c>
      <c r="V39" t="s">
        <v>2361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G7"/>
  <sheetViews>
    <sheetView topLeftCell="V1" workbookViewId="0">
      <selection activeCell="AG13" sqref="AG13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7.44140625" bestFit="1" customWidth="1"/>
    <col min="26" max="26" width="19.44140625" bestFit="1" customWidth="1"/>
    <col min="27" max="27" width="15.33203125" bestFit="1" customWidth="1"/>
    <col min="28" max="28" width="19.44140625" bestFit="1" customWidth="1"/>
    <col min="29" max="29" width="21.77734375" bestFit="1" customWidth="1"/>
    <col min="30" max="30" width="21.6640625" bestFit="1" customWidth="1"/>
    <col min="31" max="31" width="26.21875" bestFit="1" customWidth="1"/>
    <col min="32" max="32" width="29.5546875" bestFit="1" customWidth="1"/>
    <col min="33" max="33" width="26.77734375" bestFit="1" customWidth="1"/>
    <col min="34" max="34" width="17.44140625" bestFit="1" customWidth="1"/>
    <col min="35" max="35" width="15.33203125" bestFit="1" customWidth="1"/>
    <col min="36" max="36" width="14.44140625" bestFit="1" customWidth="1"/>
    <col min="37" max="37" width="21.6640625" bestFit="1" customWidth="1"/>
    <col min="38" max="38" width="10.6640625" bestFit="1" customWidth="1"/>
    <col min="39" max="39" width="14.33203125" bestFit="1" customWidth="1"/>
    <col min="40" max="40" width="15.33203125" bestFit="1" customWidth="1"/>
    <col min="41" max="44" width="10.6640625" bestFit="1" customWidth="1"/>
    <col min="45" max="45" width="12.33203125" bestFit="1" customWidth="1"/>
    <col min="46" max="46" width="18.44140625" bestFit="1" customWidth="1"/>
    <col min="47" max="47" width="9.5546875" bestFit="1" customWidth="1"/>
    <col min="48" max="48" width="11.6640625" bestFit="1" customWidth="1"/>
    <col min="50" max="50" width="11.6640625" bestFit="1" customWidth="1"/>
  </cols>
  <sheetData>
    <row r="1" spans="1:33" s="3" customFormat="1" x14ac:dyDescent="0.3">
      <c r="A1" s="3" t="s">
        <v>104</v>
      </c>
      <c r="B1" s="3" t="s">
        <v>1567</v>
      </c>
      <c r="C1" s="3" t="s">
        <v>1568</v>
      </c>
      <c r="D1" s="3" t="s">
        <v>256</v>
      </c>
      <c r="E1" s="3" t="s">
        <v>1533</v>
      </c>
      <c r="F1" s="3" t="s">
        <v>1534</v>
      </c>
      <c r="G1" s="3" t="s">
        <v>1535</v>
      </c>
      <c r="H1" s="3" t="s">
        <v>1536</v>
      </c>
      <c r="I1" s="3" t="s">
        <v>2236</v>
      </c>
      <c r="J1" s="3" t="s">
        <v>1537</v>
      </c>
      <c r="K1" s="3" t="s">
        <v>1538</v>
      </c>
      <c r="L1" s="3" t="s">
        <v>1540</v>
      </c>
      <c r="M1" s="3" t="s">
        <v>1541</v>
      </c>
      <c r="N1" s="3" t="s">
        <v>1542</v>
      </c>
      <c r="O1" s="3" t="s">
        <v>1539</v>
      </c>
      <c r="P1" s="3" t="s">
        <v>1543</v>
      </c>
      <c r="Q1" s="3" t="s">
        <v>1544</v>
      </c>
      <c r="R1" s="3" t="s">
        <v>1545</v>
      </c>
      <c r="S1" s="3" t="s">
        <v>1546</v>
      </c>
      <c r="T1" s="3" t="s">
        <v>1547</v>
      </c>
      <c r="U1" s="3" t="s">
        <v>1548</v>
      </c>
      <c r="V1" s="3" t="s">
        <v>1549</v>
      </c>
      <c r="W1" s="3" t="s">
        <v>1550</v>
      </c>
      <c r="X1" s="3" t="s">
        <v>2410</v>
      </c>
      <c r="Y1" s="3" t="s">
        <v>1551</v>
      </c>
      <c r="Z1" s="3" t="s">
        <v>1552</v>
      </c>
      <c r="AA1" s="3" t="s">
        <v>1553</v>
      </c>
      <c r="AB1" s="3" t="s">
        <v>1554</v>
      </c>
      <c r="AC1" s="3" t="s">
        <v>2429</v>
      </c>
      <c r="AD1" s="3" t="s">
        <v>2430</v>
      </c>
      <c r="AE1" s="3" t="s">
        <v>2431</v>
      </c>
      <c r="AF1" s="3" t="s">
        <v>2432</v>
      </c>
      <c r="AG1" s="3" t="s">
        <v>2433</v>
      </c>
    </row>
    <row r="2" spans="1:33" x14ac:dyDescent="0.3">
      <c r="A2" t="s">
        <v>324</v>
      </c>
      <c r="D2" t="s">
        <v>257</v>
      </c>
      <c r="L2">
        <v>0</v>
      </c>
      <c r="M2">
        <v>0</v>
      </c>
      <c r="AF2">
        <v>0</v>
      </c>
      <c r="AG2">
        <v>0</v>
      </c>
    </row>
    <row r="3" spans="1:33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2119</v>
      </c>
      <c r="W3" t="s">
        <v>760</v>
      </c>
      <c r="Y3" s="30">
        <v>100.0001</v>
      </c>
      <c r="Z3" t="b">
        <v>1</v>
      </c>
      <c r="AA3">
        <v>50.988799999999998</v>
      </c>
      <c r="AB3" t="s">
        <v>268</v>
      </c>
      <c r="AF3">
        <v>0</v>
      </c>
      <c r="AG3">
        <v>0</v>
      </c>
    </row>
    <row r="4" spans="1:33" x14ac:dyDescent="0.3">
      <c r="A4" t="s">
        <v>390</v>
      </c>
      <c r="B4" t="s">
        <v>1569</v>
      </c>
      <c r="C4" t="s">
        <v>1570</v>
      </c>
      <c r="E4" t="s">
        <v>1571</v>
      </c>
      <c r="F4" t="s">
        <v>391</v>
      </c>
      <c r="G4" t="s">
        <v>1572</v>
      </c>
      <c r="H4" t="s">
        <v>1573</v>
      </c>
      <c r="J4" t="s">
        <v>392</v>
      </c>
      <c r="K4" t="s">
        <v>1555</v>
      </c>
      <c r="L4">
        <v>1</v>
      </c>
      <c r="M4">
        <v>3</v>
      </c>
      <c r="N4" t="s">
        <v>1574</v>
      </c>
      <c r="O4" t="s">
        <v>190</v>
      </c>
      <c r="P4" t="s">
        <v>1556</v>
      </c>
      <c r="Q4" t="s">
        <v>1557</v>
      </c>
      <c r="R4" t="s">
        <v>264</v>
      </c>
      <c r="S4" t="s">
        <v>266</v>
      </c>
      <c r="T4" t="s">
        <v>1558</v>
      </c>
      <c r="U4" t="s">
        <v>393</v>
      </c>
      <c r="V4" t="s">
        <v>1244</v>
      </c>
      <c r="W4" t="s">
        <v>2349</v>
      </c>
      <c r="Y4" s="30">
        <v>65.898600000000002</v>
      </c>
      <c r="Z4" t="b">
        <v>1</v>
      </c>
      <c r="AA4" s="32" t="s">
        <v>1598</v>
      </c>
      <c r="AB4" t="s">
        <v>268</v>
      </c>
      <c r="AF4">
        <v>1</v>
      </c>
      <c r="AG4">
        <v>3</v>
      </c>
    </row>
    <row r="5" spans="1:33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2411</v>
      </c>
      <c r="Y5" s="30">
        <v>89.87</v>
      </c>
      <c r="Z5" t="b">
        <v>1</v>
      </c>
      <c r="AA5">
        <v>125.7801</v>
      </c>
      <c r="AB5" t="s">
        <v>670</v>
      </c>
      <c r="AF5">
        <v>0</v>
      </c>
      <c r="AG5">
        <v>0</v>
      </c>
    </row>
    <row r="6" spans="1:33" x14ac:dyDescent="0.3">
      <c r="A6" t="s">
        <v>1333</v>
      </c>
      <c r="D6" t="s">
        <v>1334</v>
      </c>
      <c r="E6" t="s">
        <v>1335</v>
      </c>
      <c r="F6" t="s">
        <v>1336</v>
      </c>
      <c r="H6" t="s">
        <v>66</v>
      </c>
      <c r="J6" t="s">
        <v>1337</v>
      </c>
      <c r="L6">
        <v>0</v>
      </c>
      <c r="M6">
        <v>0</v>
      </c>
      <c r="O6" t="s">
        <v>190</v>
      </c>
      <c r="P6" t="s">
        <v>1457</v>
      </c>
      <c r="Q6" t="s">
        <v>1338</v>
      </c>
      <c r="R6" t="s">
        <v>266</v>
      </c>
      <c r="S6" t="s">
        <v>266</v>
      </c>
      <c r="T6" t="s">
        <v>1339</v>
      </c>
      <c r="U6" t="s">
        <v>1340</v>
      </c>
      <c r="V6" t="s">
        <v>2157</v>
      </c>
      <c r="W6" t="s">
        <v>1341</v>
      </c>
      <c r="Y6" s="30">
        <v>1200.1212</v>
      </c>
      <c r="Z6" t="b">
        <v>1</v>
      </c>
      <c r="AA6">
        <v>8900.9876999999997</v>
      </c>
      <c r="AB6" t="s">
        <v>670</v>
      </c>
      <c r="AF6">
        <v>0</v>
      </c>
      <c r="AG6">
        <v>0</v>
      </c>
    </row>
    <row r="7" spans="1:33" x14ac:dyDescent="0.3">
      <c r="A7" t="s">
        <v>2436</v>
      </c>
      <c r="B7" t="s">
        <v>1569</v>
      </c>
      <c r="L7">
        <v>0</v>
      </c>
      <c r="M7">
        <v>0</v>
      </c>
      <c r="AF7">
        <v>4</v>
      </c>
      <c r="AG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1559</v>
      </c>
      <c r="C1" s="3" t="s">
        <v>1560</v>
      </c>
      <c r="D1" s="3" t="s">
        <v>1565</v>
      </c>
    </row>
    <row r="2" spans="1:4" x14ac:dyDescent="0.3">
      <c r="A2" t="s">
        <v>1563</v>
      </c>
      <c r="B2" t="s">
        <v>1597</v>
      </c>
      <c r="C2" t="s">
        <v>1596</v>
      </c>
    </row>
    <row r="3" spans="1:4" x14ac:dyDescent="0.3">
      <c r="A3" t="s">
        <v>1563</v>
      </c>
      <c r="B3" t="s">
        <v>1561</v>
      </c>
      <c r="C3" t="s">
        <v>1562</v>
      </c>
    </row>
    <row r="4" spans="1:4" x14ac:dyDescent="0.3">
      <c r="A4" t="s">
        <v>1563</v>
      </c>
      <c r="B4" t="s">
        <v>1564</v>
      </c>
      <c r="C4" t="s">
        <v>7</v>
      </c>
      <c r="D4" t="s">
        <v>1566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C5"/>
  <sheetViews>
    <sheetView tabSelected="1" workbookViewId="0">
      <selection activeCell="B6" sqref="B6"/>
    </sheetView>
  </sheetViews>
  <sheetFormatPr defaultRowHeight="14.4" x14ac:dyDescent="0.3"/>
  <cols>
    <col min="1" max="1" width="24.33203125" bestFit="1" customWidth="1"/>
    <col min="2" max="2" width="27.33203125" bestFit="1" customWidth="1"/>
    <col min="3" max="3" width="30.77734375" bestFit="1" customWidth="1"/>
  </cols>
  <sheetData>
    <row r="1" spans="1:3" x14ac:dyDescent="0.3">
      <c r="A1" s="3" t="s">
        <v>104</v>
      </c>
      <c r="B1" s="3" t="s">
        <v>2435</v>
      </c>
      <c r="C1" s="3" t="s">
        <v>2434</v>
      </c>
    </row>
    <row r="2" spans="1:3" x14ac:dyDescent="0.3">
      <c r="A2" t="s">
        <v>2437</v>
      </c>
      <c r="B2" t="s">
        <v>2439</v>
      </c>
      <c r="C2" t="s">
        <v>2441</v>
      </c>
    </row>
    <row r="3" spans="1:3" x14ac:dyDescent="0.3">
      <c r="A3" t="s">
        <v>2437</v>
      </c>
      <c r="B3" t="s">
        <v>2440</v>
      </c>
      <c r="C3" t="s">
        <v>2442</v>
      </c>
    </row>
    <row r="4" spans="1:3" x14ac:dyDescent="0.3">
      <c r="A4" t="s">
        <v>2437</v>
      </c>
      <c r="B4" t="s">
        <v>7</v>
      </c>
      <c r="C4" t="s">
        <v>2443</v>
      </c>
    </row>
    <row r="5" spans="1:3" x14ac:dyDescent="0.3">
      <c r="A5" t="s">
        <v>2438</v>
      </c>
      <c r="B5" t="s">
        <v>2440</v>
      </c>
      <c r="C5" t="s">
        <v>2444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P4" sqref="P4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2187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2187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2160</v>
      </c>
      <c r="C1" s="3" t="s">
        <v>2161</v>
      </c>
      <c r="D1" s="3" t="s">
        <v>2162</v>
      </c>
      <c r="E1" s="3" t="s">
        <v>2163</v>
      </c>
      <c r="F1" s="3" t="s">
        <v>2164</v>
      </c>
      <c r="G1" s="3" t="s">
        <v>2165</v>
      </c>
      <c r="H1" s="3" t="s">
        <v>2166</v>
      </c>
      <c r="I1" s="3" t="s">
        <v>2418</v>
      </c>
      <c r="J1" s="3" t="s">
        <v>2167</v>
      </c>
      <c r="K1" s="3" t="s">
        <v>2168</v>
      </c>
      <c r="L1" s="3" t="s">
        <v>2419</v>
      </c>
      <c r="M1" s="3" t="s">
        <v>2169</v>
      </c>
      <c r="N1" s="3" t="s">
        <v>2170</v>
      </c>
      <c r="O1" s="3" t="s">
        <v>2420</v>
      </c>
      <c r="P1" s="3" t="s">
        <v>2421</v>
      </c>
      <c r="Q1" s="3" t="s">
        <v>2171</v>
      </c>
      <c r="R1" s="3" t="s">
        <v>2364</v>
      </c>
      <c r="S1" s="3" t="s">
        <v>2276</v>
      </c>
      <c r="T1" s="3" t="s">
        <v>2277</v>
      </c>
    </row>
    <row r="2" spans="1:20" x14ac:dyDescent="0.3">
      <c r="A2" t="s">
        <v>1022</v>
      </c>
      <c r="B2" t="s">
        <v>487</v>
      </c>
      <c r="C2" s="45">
        <v>5500100</v>
      </c>
      <c r="D2" t="s">
        <v>2172</v>
      </c>
      <c r="E2" t="s">
        <v>2197</v>
      </c>
      <c r="F2" t="s">
        <v>863</v>
      </c>
      <c r="G2" t="s">
        <v>2173</v>
      </c>
      <c r="H2" t="s">
        <v>2174</v>
      </c>
      <c r="J2" t="s">
        <v>2175</v>
      </c>
      <c r="K2" t="s">
        <v>2176</v>
      </c>
      <c r="L2" t="s">
        <v>190</v>
      </c>
      <c r="M2">
        <v>19</v>
      </c>
      <c r="N2">
        <v>2</v>
      </c>
      <c r="O2" t="s">
        <v>2422</v>
      </c>
      <c r="P2" t="s">
        <v>2424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1023</v>
      </c>
      <c r="B3" t="s">
        <v>492</v>
      </c>
      <c r="C3" s="2">
        <v>5504830</v>
      </c>
      <c r="D3" t="s">
        <v>2183</v>
      </c>
      <c r="E3" t="s">
        <v>2198</v>
      </c>
      <c r="F3" t="s">
        <v>2184</v>
      </c>
      <c r="G3" t="s">
        <v>2182</v>
      </c>
      <c r="H3" t="s">
        <v>2185</v>
      </c>
      <c r="J3" t="s">
        <v>2186</v>
      </c>
      <c r="K3" t="s">
        <v>2187</v>
      </c>
      <c r="L3" t="s">
        <v>192</v>
      </c>
      <c r="M3">
        <v>21</v>
      </c>
      <c r="N3">
        <v>1</v>
      </c>
      <c r="O3" t="s">
        <v>2423</v>
      </c>
      <c r="P3" t="s">
        <v>2425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1029</v>
      </c>
      <c r="B4" t="s">
        <v>246</v>
      </c>
      <c r="G4" t="s">
        <v>2180</v>
      </c>
      <c r="J4" t="s">
        <v>2188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1030</v>
      </c>
      <c r="B5" t="s">
        <v>653</v>
      </c>
      <c r="G5" t="s">
        <v>2181</v>
      </c>
      <c r="J5" t="s">
        <v>2189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2297</v>
      </c>
      <c r="B6" t="s">
        <v>487</v>
      </c>
      <c r="G6" t="s">
        <v>2190</v>
      </c>
      <c r="J6" t="s">
        <v>1755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2201</v>
      </c>
      <c r="B7" t="s">
        <v>487</v>
      </c>
      <c r="G7" t="s">
        <v>2203</v>
      </c>
      <c r="J7" t="s">
        <v>2205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2202</v>
      </c>
      <c r="B8" t="s">
        <v>487</v>
      </c>
      <c r="G8" t="s">
        <v>2204</v>
      </c>
      <c r="J8" t="s">
        <v>2206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2278</v>
      </c>
      <c r="B9" t="s">
        <v>487</v>
      </c>
      <c r="G9" t="s">
        <v>2299</v>
      </c>
      <c r="J9" t="s">
        <v>2188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2279</v>
      </c>
      <c r="B10" t="s">
        <v>487</v>
      </c>
      <c r="G10" t="s">
        <v>2280</v>
      </c>
      <c r="J10" t="s">
        <v>2205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2298</v>
      </c>
      <c r="B11" t="s">
        <v>487</v>
      </c>
      <c r="G11" t="s">
        <v>2300</v>
      </c>
      <c r="J11" t="s">
        <v>2206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2362</v>
      </c>
      <c r="B12" t="s">
        <v>487</v>
      </c>
      <c r="G12" t="s">
        <v>2363</v>
      </c>
      <c r="J12" t="s">
        <v>1755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1129</v>
      </c>
      <c r="C1" s="3" t="s">
        <v>1130</v>
      </c>
      <c r="D1" s="3" t="s">
        <v>1131</v>
      </c>
      <c r="E1" s="3" t="s">
        <v>1132</v>
      </c>
      <c r="F1" s="3" t="s">
        <v>1133</v>
      </c>
      <c r="G1" s="3" t="s">
        <v>1134</v>
      </c>
      <c r="H1" s="3" t="s">
        <v>1135</v>
      </c>
      <c r="I1" s="3" t="s">
        <v>1178</v>
      </c>
    </row>
    <row r="2" spans="1:9" x14ac:dyDescent="0.3">
      <c r="A2" t="s">
        <v>1136</v>
      </c>
      <c r="B2" t="s">
        <v>2124</v>
      </c>
      <c r="C2" t="s">
        <v>264</v>
      </c>
      <c r="D2" t="s">
        <v>266</v>
      </c>
      <c r="E2" t="s">
        <v>1154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1187</v>
      </c>
      <c r="B3" t="s">
        <v>552</v>
      </c>
      <c r="C3" t="s">
        <v>266</v>
      </c>
      <c r="D3" t="s">
        <v>264</v>
      </c>
      <c r="E3" t="s">
        <v>1189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1188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1249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1137</v>
      </c>
      <c r="C1" s="3" t="s">
        <v>1185</v>
      </c>
      <c r="D1" s="3" t="s">
        <v>1176</v>
      </c>
      <c r="E1" s="3" t="s">
        <v>1138</v>
      </c>
    </row>
    <row r="2" spans="1:5" x14ac:dyDescent="0.3">
      <c r="A2" t="s">
        <v>1155</v>
      </c>
      <c r="B2" t="s">
        <v>1156</v>
      </c>
      <c r="C2" t="s">
        <v>570</v>
      </c>
      <c r="D2" t="s">
        <v>572</v>
      </c>
      <c r="E2" t="s">
        <v>1158</v>
      </c>
    </row>
    <row r="3" spans="1:5" x14ac:dyDescent="0.3">
      <c r="A3" t="s">
        <v>1155</v>
      </c>
      <c r="B3" t="s">
        <v>1177</v>
      </c>
      <c r="C3" t="s">
        <v>3</v>
      </c>
      <c r="D3" t="s">
        <v>661</v>
      </c>
      <c r="E3" t="s">
        <v>1159</v>
      </c>
    </row>
    <row r="4" spans="1:5" x14ac:dyDescent="0.3">
      <c r="A4" t="s">
        <v>1155</v>
      </c>
      <c r="B4" t="s">
        <v>1157</v>
      </c>
      <c r="C4" t="s">
        <v>570</v>
      </c>
      <c r="D4" t="s">
        <v>572</v>
      </c>
      <c r="E4" t="s">
        <v>1160</v>
      </c>
    </row>
    <row r="5" spans="1:5" x14ac:dyDescent="0.3">
      <c r="A5" t="s">
        <v>1190</v>
      </c>
      <c r="B5" t="s">
        <v>1157</v>
      </c>
      <c r="C5" t="s">
        <v>570</v>
      </c>
      <c r="D5" t="s">
        <v>572</v>
      </c>
      <c r="E5" t="s">
        <v>1191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2301</v>
      </c>
      <c r="C1" s="3" t="s">
        <v>1139</v>
      </c>
      <c r="D1" s="3" t="s">
        <v>1140</v>
      </c>
      <c r="E1" s="3" t="s">
        <v>1141</v>
      </c>
      <c r="F1" s="3" t="s">
        <v>2303</v>
      </c>
      <c r="G1" s="3" t="s">
        <v>1142</v>
      </c>
      <c r="H1" s="3" t="s">
        <v>1143</v>
      </c>
      <c r="I1" s="3" t="s">
        <v>1144</v>
      </c>
      <c r="J1" s="3" t="s">
        <v>2275</v>
      </c>
      <c r="K1" s="3" t="s">
        <v>2281</v>
      </c>
      <c r="L1" s="3" t="s">
        <v>1145</v>
      </c>
      <c r="M1" s="3" t="s">
        <v>1179</v>
      </c>
      <c r="N1" s="3" t="s">
        <v>1180</v>
      </c>
      <c r="O1" s="3" t="s">
        <v>1181</v>
      </c>
      <c r="P1" s="3" t="s">
        <v>1182</v>
      </c>
      <c r="Q1" s="3" t="s">
        <v>1183</v>
      </c>
      <c r="R1" s="3" t="s">
        <v>1184</v>
      </c>
    </row>
    <row r="2" spans="1:18" x14ac:dyDescent="0.3">
      <c r="A2" t="s">
        <v>1161</v>
      </c>
      <c r="B2">
        <v>0</v>
      </c>
      <c r="C2" t="s">
        <v>1162</v>
      </c>
      <c r="D2" t="s">
        <v>2390</v>
      </c>
      <c r="E2" t="s">
        <v>1186</v>
      </c>
      <c r="F2" s="4">
        <v>45257</v>
      </c>
      <c r="H2" t="s">
        <v>1165</v>
      </c>
      <c r="I2" t="s">
        <v>2126</v>
      </c>
      <c r="J2" t="s">
        <v>2384</v>
      </c>
      <c r="K2" t="s">
        <v>1168</v>
      </c>
      <c r="L2" t="s">
        <v>1169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1161</v>
      </c>
      <c r="B3">
        <v>0</v>
      </c>
      <c r="C3" t="s">
        <v>1163</v>
      </c>
      <c r="D3" t="s">
        <v>2391</v>
      </c>
      <c r="E3" t="s">
        <v>1164</v>
      </c>
      <c r="F3" s="4">
        <v>45264</v>
      </c>
      <c r="H3" t="s">
        <v>1166</v>
      </c>
      <c r="I3" t="s">
        <v>1167</v>
      </c>
      <c r="J3" t="s">
        <v>2385</v>
      </c>
      <c r="K3" t="s">
        <v>2125</v>
      </c>
      <c r="L3" t="s">
        <v>1170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1192</v>
      </c>
      <c r="B4">
        <v>0</v>
      </c>
      <c r="C4" t="s">
        <v>1193</v>
      </c>
      <c r="D4" t="s">
        <v>1194</v>
      </c>
      <c r="E4" t="s">
        <v>1186</v>
      </c>
      <c r="F4" s="4">
        <v>45265</v>
      </c>
      <c r="H4" t="s">
        <v>1195</v>
      </c>
      <c r="I4" t="s">
        <v>1196</v>
      </c>
      <c r="J4" t="s">
        <v>2386</v>
      </c>
      <c r="K4" t="s">
        <v>1198</v>
      </c>
      <c r="L4" t="s">
        <v>1197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1250</v>
      </c>
      <c r="B5">
        <v>0</v>
      </c>
      <c r="C5" t="s">
        <v>1251</v>
      </c>
      <c r="D5" t="s">
        <v>2392</v>
      </c>
      <c r="E5" t="s">
        <v>1186</v>
      </c>
      <c r="F5" s="4">
        <v>44962</v>
      </c>
      <c r="H5" t="s">
        <v>1252</v>
      </c>
      <c r="I5" t="s">
        <v>2192</v>
      </c>
      <c r="J5" t="s">
        <v>2387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2263</v>
      </c>
      <c r="B6">
        <v>3</v>
      </c>
      <c r="C6" t="s">
        <v>2265</v>
      </c>
      <c r="D6" t="s">
        <v>2268</v>
      </c>
      <c r="E6" t="s">
        <v>1186</v>
      </c>
      <c r="F6" s="4">
        <v>45623</v>
      </c>
      <c r="H6" t="s">
        <v>2271</v>
      </c>
      <c r="I6" t="s">
        <v>2304</v>
      </c>
      <c r="J6" t="s">
        <v>2388</v>
      </c>
      <c r="K6" t="s">
        <v>2305</v>
      </c>
      <c r="L6" t="s">
        <v>2302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2263</v>
      </c>
      <c r="B7">
        <v>3</v>
      </c>
      <c r="C7" t="s">
        <v>2266</v>
      </c>
      <c r="D7" t="s">
        <v>2269</v>
      </c>
      <c r="E7" t="s">
        <v>492</v>
      </c>
      <c r="F7" s="4">
        <v>45630</v>
      </c>
      <c r="G7" s="4">
        <v>45760</v>
      </c>
      <c r="H7" t="s">
        <v>2272</v>
      </c>
      <c r="I7" t="s">
        <v>2274</v>
      </c>
      <c r="J7" t="s">
        <v>2389</v>
      </c>
      <c r="K7" t="s">
        <v>2393</v>
      </c>
      <c r="L7" s="14" t="s">
        <v>2282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2264</v>
      </c>
      <c r="B8">
        <v>1</v>
      </c>
      <c r="C8" t="s">
        <v>2267</v>
      </c>
      <c r="D8" t="s">
        <v>2270</v>
      </c>
      <c r="E8" t="s">
        <v>1186</v>
      </c>
      <c r="F8" s="4">
        <v>45631</v>
      </c>
      <c r="H8" t="s">
        <v>2273</v>
      </c>
      <c r="I8" t="s">
        <v>2394</v>
      </c>
      <c r="J8" t="s">
        <v>2395</v>
      </c>
      <c r="K8" t="s">
        <v>2396</v>
      </c>
      <c r="L8" t="s">
        <v>2283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1146</v>
      </c>
      <c r="C1" s="3" t="s">
        <v>1147</v>
      </c>
      <c r="D1" s="3" t="s">
        <v>1148</v>
      </c>
      <c r="E1" s="3" t="s">
        <v>1149</v>
      </c>
      <c r="F1" s="3" t="s">
        <v>1150</v>
      </c>
      <c r="G1" s="3" t="s">
        <v>1151</v>
      </c>
      <c r="H1" s="3" t="s">
        <v>1152</v>
      </c>
      <c r="I1" s="3" t="s">
        <v>1153</v>
      </c>
    </row>
    <row r="2" spans="1:9" x14ac:dyDescent="0.3">
      <c r="A2" t="s">
        <v>1171</v>
      </c>
      <c r="B2" t="s">
        <v>1172</v>
      </c>
      <c r="C2" s="4">
        <v>45209</v>
      </c>
      <c r="D2" t="s">
        <v>1174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1171</v>
      </c>
      <c r="B3" t="s">
        <v>1173</v>
      </c>
      <c r="C3" s="4">
        <v>45241</v>
      </c>
      <c r="D3" t="s">
        <v>1175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2284</v>
      </c>
      <c r="B4" t="s">
        <v>2285</v>
      </c>
      <c r="C4" s="4">
        <v>45300</v>
      </c>
      <c r="D4" t="s">
        <v>2288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2284</v>
      </c>
      <c r="B5" t="s">
        <v>2286</v>
      </c>
      <c r="C5" s="4">
        <v>45544</v>
      </c>
      <c r="D5" t="s">
        <v>2289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2284</v>
      </c>
      <c r="B6" t="s">
        <v>2287</v>
      </c>
      <c r="C6" s="4">
        <v>45576</v>
      </c>
      <c r="D6" t="s">
        <v>2290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2284</v>
      </c>
      <c r="B7" t="s">
        <v>1351</v>
      </c>
      <c r="C7" s="4">
        <v>45659</v>
      </c>
      <c r="D7" t="s">
        <v>2291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2284</v>
      </c>
      <c r="B8" t="s">
        <v>2292</v>
      </c>
      <c r="C8" s="4">
        <v>45607</v>
      </c>
      <c r="D8" t="s">
        <v>2293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2294</v>
      </c>
      <c r="B9" t="s">
        <v>2295</v>
      </c>
      <c r="C9" s="4">
        <v>45638</v>
      </c>
      <c r="D9" t="s">
        <v>2296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990</v>
      </c>
      <c r="C1" s="3" t="s">
        <v>991</v>
      </c>
      <c r="D1" s="3" t="s">
        <v>1502</v>
      </c>
      <c r="E1" s="3" t="s">
        <v>992</v>
      </c>
      <c r="F1" s="3" t="s">
        <v>993</v>
      </c>
      <c r="G1" s="3" t="s">
        <v>1109</v>
      </c>
      <c r="H1" s="3" t="s">
        <v>1110</v>
      </c>
      <c r="I1" s="3" t="s">
        <v>1108</v>
      </c>
      <c r="J1" s="3" t="s">
        <v>1111</v>
      </c>
      <c r="K1" s="3" t="s">
        <v>1112</v>
      </c>
      <c r="L1" s="3" t="s">
        <v>1490</v>
      </c>
      <c r="M1" s="3" t="s">
        <v>1116</v>
      </c>
      <c r="N1" s="3" t="s">
        <v>1113</v>
      </c>
      <c r="O1" s="3" t="s">
        <v>1114</v>
      </c>
      <c r="P1" s="3" t="s">
        <v>1115</v>
      </c>
      <c r="Q1" s="3" t="s">
        <v>994</v>
      </c>
      <c r="R1" s="3" t="s">
        <v>995</v>
      </c>
      <c r="S1" s="3" t="s">
        <v>996</v>
      </c>
      <c r="T1" s="3" t="s">
        <v>1515</v>
      </c>
      <c r="U1" s="3" t="s">
        <v>1516</v>
      </c>
      <c r="V1" s="3" t="s">
        <v>1517</v>
      </c>
      <c r="W1" s="3" t="s">
        <v>997</v>
      </c>
      <c r="X1" s="3" t="s">
        <v>998</v>
      </c>
      <c r="Y1" s="3" t="s">
        <v>999</v>
      </c>
      <c r="Z1" s="3" t="s">
        <v>1021</v>
      </c>
    </row>
    <row r="2" spans="1:26" x14ac:dyDescent="0.3">
      <c r="A2" t="s">
        <v>1002</v>
      </c>
      <c r="B2" s="14" t="s">
        <v>623</v>
      </c>
      <c r="C2" t="s">
        <v>1004</v>
      </c>
      <c r="E2" t="s">
        <v>266</v>
      </c>
      <c r="F2" t="s">
        <v>1005</v>
      </c>
      <c r="G2" s="16" t="s">
        <v>1019</v>
      </c>
      <c r="H2" s="6"/>
      <c r="I2" s="17" t="s">
        <v>1019</v>
      </c>
      <c r="J2" s="15" t="s">
        <v>1020</v>
      </c>
      <c r="K2" s="6"/>
      <c r="L2" s="6"/>
      <c r="M2" s="15" t="s">
        <v>1020</v>
      </c>
      <c r="N2" t="s">
        <v>1009</v>
      </c>
      <c r="O2" s="6"/>
      <c r="P2" s="4">
        <v>36841</v>
      </c>
      <c r="Q2" s="15" t="s">
        <v>1019</v>
      </c>
      <c r="R2" s="6"/>
      <c r="T2" s="16" t="s">
        <v>1019</v>
      </c>
      <c r="W2" s="15" t="s">
        <v>1020</v>
      </c>
      <c r="X2" s="30"/>
      <c r="Y2" s="8">
        <v>0</v>
      </c>
      <c r="Z2" s="8">
        <v>0</v>
      </c>
    </row>
    <row r="3" spans="1:26" x14ac:dyDescent="0.3">
      <c r="A3" t="s">
        <v>1002</v>
      </c>
      <c r="B3" t="s">
        <v>1003</v>
      </c>
      <c r="C3" t="s">
        <v>764</v>
      </c>
      <c r="D3" s="4">
        <v>43595</v>
      </c>
      <c r="E3" t="s">
        <v>295</v>
      </c>
      <c r="F3" t="s">
        <v>1006</v>
      </c>
      <c r="G3" s="16" t="s">
        <v>1020</v>
      </c>
      <c r="H3" s="30">
        <v>1200</v>
      </c>
      <c r="I3" s="17" t="s">
        <v>1020</v>
      </c>
      <c r="J3" s="15" t="s">
        <v>1020</v>
      </c>
      <c r="K3" s="6">
        <v>1178.0093999999999</v>
      </c>
      <c r="L3" s="6"/>
      <c r="M3" s="15" t="s">
        <v>1020</v>
      </c>
      <c r="N3" t="s">
        <v>1010</v>
      </c>
      <c r="O3" s="34">
        <v>3207.0001999999999</v>
      </c>
      <c r="P3" s="4">
        <v>39077</v>
      </c>
      <c r="Q3" s="15" t="s">
        <v>1020</v>
      </c>
      <c r="R3" s="30">
        <v>1289.9901</v>
      </c>
      <c r="S3" s="4">
        <v>45408</v>
      </c>
      <c r="T3" s="16" t="s">
        <v>1019</v>
      </c>
      <c r="U3" s="4"/>
      <c r="V3" s="4"/>
      <c r="W3" s="15" t="s">
        <v>1020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1002</v>
      </c>
      <c r="B4" t="s">
        <v>623</v>
      </c>
      <c r="C4" t="s">
        <v>764</v>
      </c>
      <c r="D4" s="4">
        <v>45126</v>
      </c>
      <c r="E4" t="s">
        <v>264</v>
      </c>
      <c r="F4" t="s">
        <v>1008</v>
      </c>
      <c r="G4" s="16" t="s">
        <v>1020</v>
      </c>
      <c r="H4" s="30">
        <v>1604</v>
      </c>
      <c r="I4" s="17" t="s">
        <v>1019</v>
      </c>
      <c r="J4" s="15" t="s">
        <v>1020</v>
      </c>
      <c r="K4" s="6"/>
      <c r="L4" s="6"/>
      <c r="M4" s="15" t="s">
        <v>1019</v>
      </c>
      <c r="O4" s="6"/>
      <c r="P4" s="4"/>
      <c r="Q4" s="15" t="s">
        <v>1019</v>
      </c>
      <c r="R4" s="30"/>
      <c r="T4" s="16" t="s">
        <v>1019</v>
      </c>
      <c r="W4" s="15" t="s">
        <v>1020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1002</v>
      </c>
      <c r="B5" t="s">
        <v>623</v>
      </c>
      <c r="C5" t="s">
        <v>1004</v>
      </c>
      <c r="E5" t="s">
        <v>266</v>
      </c>
      <c r="F5" t="s">
        <v>1013</v>
      </c>
      <c r="G5" s="16" t="s">
        <v>1019</v>
      </c>
      <c r="H5" s="30"/>
      <c r="I5" s="17" t="s">
        <v>1019</v>
      </c>
      <c r="J5" s="15" t="s">
        <v>1020</v>
      </c>
      <c r="K5" s="6">
        <v>1888.8801000000001</v>
      </c>
      <c r="L5" s="6"/>
      <c r="M5" s="15" t="s">
        <v>1019</v>
      </c>
      <c r="O5" s="6"/>
      <c r="Q5" s="15" t="s">
        <v>1019</v>
      </c>
      <c r="R5" s="30"/>
      <c r="T5" s="16" t="s">
        <v>1019</v>
      </c>
      <c r="W5" s="15" t="s">
        <v>1020</v>
      </c>
      <c r="X5" s="30"/>
      <c r="Y5" s="8">
        <v>1</v>
      </c>
      <c r="Z5" s="8">
        <v>1</v>
      </c>
    </row>
    <row r="6" spans="1:26" x14ac:dyDescent="0.3">
      <c r="A6" t="s">
        <v>1002</v>
      </c>
      <c r="B6" t="s">
        <v>1003</v>
      </c>
      <c r="C6" t="s">
        <v>492</v>
      </c>
      <c r="E6" t="s">
        <v>295</v>
      </c>
      <c r="F6" t="s">
        <v>1014</v>
      </c>
      <c r="G6" s="16" t="s">
        <v>1020</v>
      </c>
      <c r="H6" s="30">
        <v>2205.9090000000001</v>
      </c>
      <c r="I6" s="17" t="s">
        <v>1020</v>
      </c>
      <c r="J6" s="15" t="s">
        <v>1019</v>
      </c>
      <c r="K6" s="6"/>
      <c r="L6" s="6"/>
      <c r="M6" s="15" t="s">
        <v>1020</v>
      </c>
      <c r="N6" t="s">
        <v>1011</v>
      </c>
      <c r="O6" s="6"/>
      <c r="P6" s="4">
        <v>45147</v>
      </c>
      <c r="Q6" s="15" t="s">
        <v>1020</v>
      </c>
      <c r="R6" s="30">
        <v>1346.9999</v>
      </c>
      <c r="S6" s="4">
        <v>43717</v>
      </c>
      <c r="T6" s="16" t="s">
        <v>1019</v>
      </c>
      <c r="W6" s="15" t="s">
        <v>1019</v>
      </c>
      <c r="X6" s="30"/>
      <c r="Y6" s="8">
        <v>2</v>
      </c>
      <c r="Z6" s="8">
        <v>0</v>
      </c>
    </row>
    <row r="7" spans="1:26" x14ac:dyDescent="0.3">
      <c r="A7" t="s">
        <v>1007</v>
      </c>
      <c r="B7" t="s">
        <v>1003</v>
      </c>
      <c r="C7" t="s">
        <v>1004</v>
      </c>
      <c r="E7" t="s">
        <v>266</v>
      </c>
      <c r="F7" t="s">
        <v>1012</v>
      </c>
      <c r="G7" s="16" t="s">
        <v>1020</v>
      </c>
      <c r="H7" s="30">
        <v>3800.9</v>
      </c>
      <c r="I7" s="17" t="s">
        <v>1019</v>
      </c>
      <c r="J7" s="15" t="s">
        <v>1019</v>
      </c>
      <c r="K7" s="6"/>
      <c r="L7" s="6"/>
      <c r="M7" s="15" t="s">
        <v>1019</v>
      </c>
      <c r="O7" s="6"/>
      <c r="Q7" s="15" t="s">
        <v>1020</v>
      </c>
      <c r="R7" s="30">
        <v>8790.7900000000009</v>
      </c>
      <c r="S7" s="4">
        <v>39270</v>
      </c>
      <c r="T7" s="16" t="s">
        <v>1019</v>
      </c>
      <c r="U7" s="4"/>
      <c r="V7" s="4"/>
      <c r="W7" s="15" t="s">
        <v>1020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1217</v>
      </c>
      <c r="B8" t="s">
        <v>623</v>
      </c>
      <c r="C8" t="s">
        <v>1004</v>
      </c>
      <c r="E8" t="s">
        <v>266</v>
      </c>
      <c r="F8" t="s">
        <v>1218</v>
      </c>
      <c r="G8" s="16" t="s">
        <v>1019</v>
      </c>
      <c r="I8" s="17" t="s">
        <v>1019</v>
      </c>
      <c r="J8" s="15" t="s">
        <v>1019</v>
      </c>
      <c r="M8" s="15" t="s">
        <v>1019</v>
      </c>
      <c r="P8" s="4"/>
      <c r="Q8" s="15" t="s">
        <v>1019</v>
      </c>
      <c r="R8" s="30"/>
      <c r="T8" s="16" t="s">
        <v>1020</v>
      </c>
      <c r="U8" s="16" t="s">
        <v>1617</v>
      </c>
      <c r="V8" s="4">
        <v>44083</v>
      </c>
      <c r="W8" s="15" t="s">
        <v>1019</v>
      </c>
      <c r="X8" s="30"/>
      <c r="Y8" s="8">
        <v>1</v>
      </c>
      <c r="Z8" s="8">
        <v>0</v>
      </c>
    </row>
    <row r="9" spans="1:26" s="23" customFormat="1" x14ac:dyDescent="0.3">
      <c r="A9" s="23" t="s">
        <v>1476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1508</v>
      </c>
      <c r="G9" s="24" t="s">
        <v>1020</v>
      </c>
      <c r="I9" s="25" t="s">
        <v>1020</v>
      </c>
      <c r="J9" s="26" t="s">
        <v>1019</v>
      </c>
      <c r="M9" s="26" t="s">
        <v>1019</v>
      </c>
      <c r="Q9" s="26" t="s">
        <v>1019</v>
      </c>
      <c r="R9" s="31"/>
      <c r="T9" s="23" t="s">
        <v>1019</v>
      </c>
      <c r="W9" s="26" t="s">
        <v>1019</v>
      </c>
      <c r="X9" s="31"/>
      <c r="Y9" s="29">
        <v>1</v>
      </c>
      <c r="Z9" s="29">
        <v>0</v>
      </c>
    </row>
    <row r="10" spans="1:26" x14ac:dyDescent="0.3">
      <c r="A10" t="s">
        <v>1476</v>
      </c>
      <c r="B10" t="s">
        <v>1003</v>
      </c>
      <c r="C10" t="s">
        <v>764</v>
      </c>
      <c r="D10" s="4">
        <v>45393</v>
      </c>
      <c r="E10" t="s">
        <v>295</v>
      </c>
      <c r="F10" t="s">
        <v>1509</v>
      </c>
      <c r="G10" s="16" t="s">
        <v>1020</v>
      </c>
      <c r="I10" s="17" t="s">
        <v>1019</v>
      </c>
      <c r="J10" s="15" t="s">
        <v>1019</v>
      </c>
      <c r="M10" s="15" t="s">
        <v>1019</v>
      </c>
      <c r="Q10" s="15" t="s">
        <v>1019</v>
      </c>
      <c r="R10" s="30"/>
      <c r="T10" s="16" t="s">
        <v>1019</v>
      </c>
      <c r="W10" s="15" t="s">
        <v>1019</v>
      </c>
      <c r="X10" s="30"/>
      <c r="Y10" s="8">
        <v>2</v>
      </c>
      <c r="Z10" s="8">
        <v>0</v>
      </c>
    </row>
    <row r="11" spans="1:26" x14ac:dyDescent="0.3">
      <c r="A11" t="s">
        <v>1476</v>
      </c>
      <c r="B11" t="s">
        <v>623</v>
      </c>
      <c r="C11" t="s">
        <v>764</v>
      </c>
      <c r="D11" s="4">
        <v>45392</v>
      </c>
      <c r="E11" t="s">
        <v>266</v>
      </c>
      <c r="F11" t="s">
        <v>1510</v>
      </c>
      <c r="G11" s="16" t="s">
        <v>1019</v>
      </c>
      <c r="I11" s="17" t="s">
        <v>1020</v>
      </c>
      <c r="J11" s="15" t="s">
        <v>1019</v>
      </c>
      <c r="M11" s="15" t="s">
        <v>1019</v>
      </c>
      <c r="Q11" s="15" t="s">
        <v>1019</v>
      </c>
      <c r="R11" s="30"/>
      <c r="T11" s="16" t="s">
        <v>1019</v>
      </c>
      <c r="W11" s="15" t="s">
        <v>1019</v>
      </c>
      <c r="X11" s="30"/>
      <c r="Y11" s="8">
        <v>3</v>
      </c>
      <c r="Z11" s="8">
        <v>0</v>
      </c>
    </row>
    <row r="12" spans="1:26" x14ac:dyDescent="0.3">
      <c r="A12" t="s">
        <v>1476</v>
      </c>
      <c r="B12" t="s">
        <v>1003</v>
      </c>
      <c r="C12" t="s">
        <v>764</v>
      </c>
      <c r="D12" s="4">
        <v>45393</v>
      </c>
      <c r="E12" t="s">
        <v>295</v>
      </c>
      <c r="F12" t="s">
        <v>1511</v>
      </c>
      <c r="G12" s="16" t="s">
        <v>1019</v>
      </c>
      <c r="I12" s="17" t="s">
        <v>1019</v>
      </c>
      <c r="J12" s="15" t="s">
        <v>1019</v>
      </c>
      <c r="M12" s="15" t="s">
        <v>1019</v>
      </c>
      <c r="Q12" s="15" t="s">
        <v>1019</v>
      </c>
      <c r="R12" s="30"/>
      <c r="T12" s="16" t="s">
        <v>1019</v>
      </c>
      <c r="W12" s="15" t="s">
        <v>1019</v>
      </c>
      <c r="X12" s="30"/>
      <c r="Y12" s="8">
        <v>4</v>
      </c>
      <c r="Z12" s="8">
        <v>0</v>
      </c>
    </row>
    <row r="13" spans="1:26" x14ac:dyDescent="0.3">
      <c r="A13" t="s">
        <v>1476</v>
      </c>
      <c r="B13" t="s">
        <v>623</v>
      </c>
      <c r="C13" t="s">
        <v>764</v>
      </c>
      <c r="D13" s="4">
        <v>45394</v>
      </c>
      <c r="E13" t="s">
        <v>264</v>
      </c>
      <c r="F13" t="s">
        <v>1478</v>
      </c>
      <c r="G13" s="16" t="s">
        <v>1019</v>
      </c>
      <c r="I13" s="17" t="s">
        <v>1019</v>
      </c>
      <c r="J13" s="15" t="s">
        <v>1020</v>
      </c>
      <c r="L13" s="4">
        <v>44988</v>
      </c>
      <c r="M13" s="15" t="s">
        <v>1019</v>
      </c>
      <c r="Q13" s="15" t="s">
        <v>1019</v>
      </c>
      <c r="R13" s="30"/>
      <c r="T13" s="16" t="s">
        <v>1019</v>
      </c>
      <c r="W13" s="15" t="s">
        <v>1019</v>
      </c>
      <c r="X13" s="30"/>
      <c r="Y13" s="8">
        <v>5</v>
      </c>
      <c r="Z13" s="8">
        <v>0</v>
      </c>
    </row>
    <row r="14" spans="1:26" x14ac:dyDescent="0.3">
      <c r="A14" t="s">
        <v>1476</v>
      </c>
      <c r="B14" t="s">
        <v>1003</v>
      </c>
      <c r="C14" t="s">
        <v>764</v>
      </c>
      <c r="D14" s="4">
        <v>45395</v>
      </c>
      <c r="E14" t="s">
        <v>266</v>
      </c>
      <c r="F14" t="s">
        <v>1479</v>
      </c>
      <c r="G14" s="16" t="s">
        <v>1019</v>
      </c>
      <c r="I14" s="17" t="s">
        <v>1019</v>
      </c>
      <c r="J14" s="15" t="s">
        <v>1020</v>
      </c>
      <c r="L14" s="4">
        <v>47545</v>
      </c>
      <c r="M14" s="15" t="s">
        <v>1019</v>
      </c>
      <c r="Q14" s="15" t="s">
        <v>1019</v>
      </c>
      <c r="R14" s="30"/>
      <c r="T14" s="16" t="s">
        <v>1019</v>
      </c>
      <c r="W14" s="15" t="s">
        <v>1019</v>
      </c>
      <c r="X14" s="30"/>
      <c r="Y14" s="8">
        <v>6</v>
      </c>
      <c r="Z14" s="8">
        <v>0</v>
      </c>
    </row>
    <row r="15" spans="1:26" x14ac:dyDescent="0.3">
      <c r="A15" t="s">
        <v>1476</v>
      </c>
      <c r="B15" t="s">
        <v>623</v>
      </c>
      <c r="C15" t="s">
        <v>764</v>
      </c>
      <c r="D15" s="4">
        <v>45396</v>
      </c>
      <c r="E15" t="s">
        <v>295</v>
      </c>
      <c r="F15" t="s">
        <v>1480</v>
      </c>
      <c r="G15" s="16" t="s">
        <v>1019</v>
      </c>
      <c r="I15" s="17" t="s">
        <v>1019</v>
      </c>
      <c r="J15" s="15" t="s">
        <v>1019</v>
      </c>
      <c r="M15" s="15" t="s">
        <v>1020</v>
      </c>
      <c r="N15" t="s">
        <v>1009</v>
      </c>
      <c r="P15" s="4">
        <v>47545</v>
      </c>
      <c r="Q15" s="15" t="s">
        <v>1019</v>
      </c>
      <c r="R15" s="30"/>
      <c r="T15" s="16" t="s">
        <v>1019</v>
      </c>
      <c r="W15" s="15" t="s">
        <v>1019</v>
      </c>
      <c r="X15" s="30"/>
      <c r="Y15" s="8">
        <v>7</v>
      </c>
      <c r="Z15" s="8">
        <v>0</v>
      </c>
    </row>
    <row r="16" spans="1:26" x14ac:dyDescent="0.3">
      <c r="A16" t="s">
        <v>1476</v>
      </c>
      <c r="B16" t="s">
        <v>1003</v>
      </c>
      <c r="C16" t="s">
        <v>764</v>
      </c>
      <c r="D16" s="4">
        <v>45397</v>
      </c>
      <c r="E16" t="s">
        <v>264</v>
      </c>
      <c r="F16" t="s">
        <v>1514</v>
      </c>
      <c r="G16" s="16" t="s">
        <v>1019</v>
      </c>
      <c r="I16" s="17" t="s">
        <v>1019</v>
      </c>
      <c r="J16" s="15" t="s">
        <v>1019</v>
      </c>
      <c r="M16" s="15" t="s">
        <v>1020</v>
      </c>
      <c r="N16" t="s">
        <v>1491</v>
      </c>
      <c r="P16" s="4">
        <v>47545</v>
      </c>
      <c r="Q16" s="15" t="s">
        <v>1019</v>
      </c>
      <c r="R16" s="30"/>
      <c r="T16" s="16" t="s">
        <v>1019</v>
      </c>
      <c r="W16" s="15" t="s">
        <v>1019</v>
      </c>
      <c r="X16" s="30"/>
      <c r="Y16" s="8">
        <v>8</v>
      </c>
      <c r="Z16" s="8">
        <v>0</v>
      </c>
    </row>
    <row r="17" spans="1:26" x14ac:dyDescent="0.3">
      <c r="A17" t="s">
        <v>1476</v>
      </c>
      <c r="B17" t="s">
        <v>623</v>
      </c>
      <c r="C17" t="s">
        <v>764</v>
      </c>
      <c r="D17" s="4">
        <v>45398</v>
      </c>
      <c r="E17" t="s">
        <v>266</v>
      </c>
      <c r="F17" t="s">
        <v>1481</v>
      </c>
      <c r="G17" s="16" t="s">
        <v>1019</v>
      </c>
      <c r="I17" s="17" t="s">
        <v>1019</v>
      </c>
      <c r="J17" s="15" t="s">
        <v>1019</v>
      </c>
      <c r="M17" s="15" t="s">
        <v>1020</v>
      </c>
      <c r="N17" t="s">
        <v>1492</v>
      </c>
      <c r="P17" s="4">
        <v>47545</v>
      </c>
      <c r="Q17" s="15" t="s">
        <v>1019</v>
      </c>
      <c r="R17" s="30"/>
      <c r="T17" s="16" t="s">
        <v>1019</v>
      </c>
      <c r="W17" s="15" t="s">
        <v>1019</v>
      </c>
      <c r="X17" s="30"/>
      <c r="Y17" s="8">
        <v>9</v>
      </c>
      <c r="Z17" s="8">
        <v>0</v>
      </c>
    </row>
    <row r="18" spans="1:26" x14ac:dyDescent="0.3">
      <c r="A18" t="s">
        <v>1476</v>
      </c>
      <c r="B18" t="s">
        <v>1003</v>
      </c>
      <c r="C18" t="s">
        <v>764</v>
      </c>
      <c r="D18" s="4">
        <v>45399</v>
      </c>
      <c r="E18" t="s">
        <v>295</v>
      </c>
      <c r="F18" t="s">
        <v>1482</v>
      </c>
      <c r="G18" s="16" t="s">
        <v>1019</v>
      </c>
      <c r="I18" s="17" t="s">
        <v>1019</v>
      </c>
      <c r="J18" s="15" t="s">
        <v>1019</v>
      </c>
      <c r="M18" s="15" t="s">
        <v>1020</v>
      </c>
      <c r="N18" t="s">
        <v>1010</v>
      </c>
      <c r="P18" s="4">
        <v>47545</v>
      </c>
      <c r="Q18" s="15" t="s">
        <v>1019</v>
      </c>
      <c r="R18" s="30"/>
      <c r="T18" s="16" t="s">
        <v>1019</v>
      </c>
      <c r="W18" s="15" t="s">
        <v>1019</v>
      </c>
      <c r="X18" s="30"/>
      <c r="Y18" s="8">
        <v>10</v>
      </c>
      <c r="Z18" s="8">
        <v>0</v>
      </c>
    </row>
    <row r="19" spans="1:26" x14ac:dyDescent="0.3">
      <c r="A19" t="s">
        <v>1476</v>
      </c>
      <c r="B19" t="s">
        <v>623</v>
      </c>
      <c r="C19" t="s">
        <v>764</v>
      </c>
      <c r="D19" s="4">
        <v>45400</v>
      </c>
      <c r="E19" t="s">
        <v>264</v>
      </c>
      <c r="F19" t="s">
        <v>1483</v>
      </c>
      <c r="G19" s="16" t="s">
        <v>1019</v>
      </c>
      <c r="I19" s="17" t="s">
        <v>1019</v>
      </c>
      <c r="J19" s="15" t="s">
        <v>1019</v>
      </c>
      <c r="M19" s="15" t="s">
        <v>1020</v>
      </c>
      <c r="N19" t="s">
        <v>1011</v>
      </c>
      <c r="P19" s="4">
        <v>47545</v>
      </c>
      <c r="Q19" s="15" t="s">
        <v>1019</v>
      </c>
      <c r="R19" s="30"/>
      <c r="T19" s="16" t="s">
        <v>1019</v>
      </c>
      <c r="W19" s="15" t="s">
        <v>1019</v>
      </c>
      <c r="X19" s="30"/>
      <c r="Y19" s="8">
        <v>11</v>
      </c>
      <c r="Z19" s="8">
        <v>0</v>
      </c>
    </row>
    <row r="20" spans="1:26" x14ac:dyDescent="0.3">
      <c r="A20" t="s">
        <v>1476</v>
      </c>
      <c r="B20" t="s">
        <v>1003</v>
      </c>
      <c r="C20" t="s">
        <v>764</v>
      </c>
      <c r="D20" s="4">
        <v>45401</v>
      </c>
      <c r="E20" t="s">
        <v>266</v>
      </c>
      <c r="F20" t="s">
        <v>1484</v>
      </c>
      <c r="G20" s="16" t="s">
        <v>1019</v>
      </c>
      <c r="I20" s="17" t="s">
        <v>1019</v>
      </c>
      <c r="J20" s="15" t="s">
        <v>1019</v>
      </c>
      <c r="M20" s="15" t="s">
        <v>1020</v>
      </c>
      <c r="N20" t="s">
        <v>1493</v>
      </c>
      <c r="P20" s="4"/>
      <c r="Q20" s="15" t="s">
        <v>1019</v>
      </c>
      <c r="R20" s="30"/>
      <c r="T20" s="16" t="s">
        <v>1019</v>
      </c>
      <c r="W20" s="15" t="s">
        <v>1019</v>
      </c>
      <c r="X20" s="30"/>
      <c r="Y20" s="8">
        <v>12</v>
      </c>
      <c r="Z20" s="8">
        <v>0</v>
      </c>
    </row>
    <row r="21" spans="1:26" x14ac:dyDescent="0.3">
      <c r="A21" t="s">
        <v>1476</v>
      </c>
      <c r="B21" t="s">
        <v>1003</v>
      </c>
      <c r="C21" t="s">
        <v>764</v>
      </c>
      <c r="D21" s="4">
        <v>45401</v>
      </c>
      <c r="E21" t="s">
        <v>266</v>
      </c>
      <c r="F21" t="s">
        <v>1512</v>
      </c>
      <c r="G21" s="16" t="s">
        <v>1019</v>
      </c>
      <c r="I21" s="17" t="s">
        <v>1019</v>
      </c>
      <c r="J21" s="15" t="s">
        <v>1019</v>
      </c>
      <c r="M21" s="15" t="s">
        <v>1020</v>
      </c>
      <c r="N21" t="s">
        <v>1513</v>
      </c>
      <c r="P21" s="4"/>
      <c r="Q21" s="15" t="s">
        <v>1019</v>
      </c>
      <c r="R21" s="30"/>
      <c r="T21" s="16" t="s">
        <v>1019</v>
      </c>
      <c r="W21" s="15" t="s">
        <v>1019</v>
      </c>
      <c r="X21" s="30"/>
      <c r="Y21" s="8">
        <v>13</v>
      </c>
      <c r="Z21" s="8">
        <v>0</v>
      </c>
    </row>
    <row r="22" spans="1:26" x14ac:dyDescent="0.3">
      <c r="A22" t="s">
        <v>1476</v>
      </c>
      <c r="B22" t="s">
        <v>623</v>
      </c>
      <c r="C22" t="s">
        <v>764</v>
      </c>
      <c r="D22" s="4">
        <v>45402</v>
      </c>
      <c r="E22" t="s">
        <v>295</v>
      </c>
      <c r="F22" t="s">
        <v>1485</v>
      </c>
      <c r="G22" s="16" t="s">
        <v>1019</v>
      </c>
      <c r="I22" s="17" t="s">
        <v>1019</v>
      </c>
      <c r="J22" s="15" t="s">
        <v>1019</v>
      </c>
      <c r="M22" s="15" t="s">
        <v>1019</v>
      </c>
      <c r="Q22" s="15" t="s">
        <v>1020</v>
      </c>
      <c r="R22" s="30"/>
      <c r="S22" s="4">
        <v>47545</v>
      </c>
      <c r="T22" s="16" t="s">
        <v>1019</v>
      </c>
      <c r="U22" s="4"/>
      <c r="V22" s="4"/>
      <c r="W22" s="15" t="s">
        <v>1019</v>
      </c>
      <c r="X22" s="30"/>
      <c r="Y22" s="8">
        <v>14</v>
      </c>
      <c r="Z22" s="8">
        <v>0</v>
      </c>
    </row>
    <row r="23" spans="1:26" x14ac:dyDescent="0.3">
      <c r="A23" t="s">
        <v>1476</v>
      </c>
      <c r="B23" t="s">
        <v>1003</v>
      </c>
      <c r="C23" t="s">
        <v>764</v>
      </c>
      <c r="D23" s="4">
        <v>45398</v>
      </c>
      <c r="E23" t="s">
        <v>264</v>
      </c>
      <c r="F23" t="s">
        <v>1518</v>
      </c>
      <c r="G23" s="16" t="s">
        <v>1019</v>
      </c>
      <c r="I23" s="17" t="s">
        <v>1019</v>
      </c>
      <c r="J23" s="15" t="s">
        <v>1019</v>
      </c>
      <c r="M23" s="15" t="s">
        <v>1019</v>
      </c>
      <c r="Q23" s="15" t="s">
        <v>1019</v>
      </c>
      <c r="R23" s="30"/>
      <c r="S23" s="4"/>
      <c r="T23" s="28" t="s">
        <v>1020</v>
      </c>
      <c r="U23" s="30"/>
      <c r="V23" s="4">
        <v>44936</v>
      </c>
      <c r="W23" s="15" t="s">
        <v>1019</v>
      </c>
      <c r="X23" s="30"/>
      <c r="Y23" s="8">
        <v>15</v>
      </c>
      <c r="Z23" s="8">
        <v>0</v>
      </c>
    </row>
    <row r="24" spans="1:26" x14ac:dyDescent="0.3">
      <c r="A24" t="s">
        <v>1476</v>
      </c>
      <c r="B24" t="s">
        <v>1003</v>
      </c>
      <c r="C24" t="s">
        <v>764</v>
      </c>
      <c r="D24" s="4">
        <v>45403</v>
      </c>
      <c r="E24" t="s">
        <v>264</v>
      </c>
      <c r="F24" t="s">
        <v>1477</v>
      </c>
      <c r="G24" s="16" t="s">
        <v>1019</v>
      </c>
      <c r="I24" s="17" t="s">
        <v>1019</v>
      </c>
      <c r="J24" s="15" t="s">
        <v>1019</v>
      </c>
      <c r="M24" s="15" t="s">
        <v>1019</v>
      </c>
      <c r="Q24" s="15" t="s">
        <v>1019</v>
      </c>
      <c r="R24" s="30"/>
      <c r="T24" s="16" t="s">
        <v>1019</v>
      </c>
      <c r="W24" s="15" t="s">
        <v>1020</v>
      </c>
      <c r="X24" s="30"/>
      <c r="Y24" s="8">
        <v>16</v>
      </c>
      <c r="Z24" s="8">
        <v>0</v>
      </c>
    </row>
    <row r="25" spans="1:26" x14ac:dyDescent="0.3">
      <c r="A25" t="s">
        <v>1476</v>
      </c>
      <c r="B25" t="s">
        <v>623</v>
      </c>
      <c r="C25" t="s">
        <v>764</v>
      </c>
      <c r="D25" s="4">
        <v>45404</v>
      </c>
      <c r="E25" t="s">
        <v>266</v>
      </c>
      <c r="F25" t="s">
        <v>1486</v>
      </c>
      <c r="G25" s="16" t="s">
        <v>1020</v>
      </c>
      <c r="I25" s="17" t="s">
        <v>1019</v>
      </c>
      <c r="J25" s="15" t="s">
        <v>1019</v>
      </c>
      <c r="M25" s="15" t="s">
        <v>1019</v>
      </c>
      <c r="Q25" s="15" t="s">
        <v>1019</v>
      </c>
      <c r="R25" s="30"/>
      <c r="T25" s="16" t="s">
        <v>1019</v>
      </c>
      <c r="W25" s="15" t="s">
        <v>1019</v>
      </c>
      <c r="X25" s="30"/>
      <c r="Y25" s="8">
        <v>17</v>
      </c>
      <c r="Z25" s="8">
        <v>0</v>
      </c>
    </row>
    <row r="26" spans="1:26" x14ac:dyDescent="0.3">
      <c r="A26" t="s">
        <v>1476</v>
      </c>
      <c r="B26" t="s">
        <v>1003</v>
      </c>
      <c r="C26" t="s">
        <v>764</v>
      </c>
      <c r="D26" s="4">
        <v>45405</v>
      </c>
      <c r="E26" t="s">
        <v>295</v>
      </c>
      <c r="F26" t="s">
        <v>1487</v>
      </c>
      <c r="G26" s="16" t="s">
        <v>1019</v>
      </c>
      <c r="I26" s="17" t="s">
        <v>1019</v>
      </c>
      <c r="J26" s="15" t="s">
        <v>1019</v>
      </c>
      <c r="M26" s="15" t="s">
        <v>1020</v>
      </c>
      <c r="N26" t="s">
        <v>1009</v>
      </c>
      <c r="P26" s="4">
        <v>47545</v>
      </c>
      <c r="Q26" s="15" t="s">
        <v>1019</v>
      </c>
      <c r="R26" s="30"/>
      <c r="T26" s="16" t="s">
        <v>1019</v>
      </c>
      <c r="W26" s="15" t="s">
        <v>1019</v>
      </c>
      <c r="X26" s="30"/>
      <c r="Y26" s="8">
        <v>17</v>
      </c>
      <c r="Z26" s="8">
        <v>1</v>
      </c>
    </row>
    <row r="27" spans="1:26" x14ac:dyDescent="0.3">
      <c r="A27" t="s">
        <v>1476</v>
      </c>
      <c r="B27" t="s">
        <v>623</v>
      </c>
      <c r="C27" t="s">
        <v>764</v>
      </c>
      <c r="D27" s="4">
        <v>45406</v>
      </c>
      <c r="E27" t="s">
        <v>264</v>
      </c>
      <c r="F27" t="s">
        <v>1488</v>
      </c>
      <c r="G27" s="16" t="s">
        <v>1020</v>
      </c>
      <c r="I27" s="17" t="s">
        <v>1020</v>
      </c>
      <c r="J27" s="15" t="s">
        <v>1019</v>
      </c>
      <c r="M27" s="15" t="s">
        <v>1019</v>
      </c>
      <c r="Q27" s="15" t="s">
        <v>1019</v>
      </c>
      <c r="R27" s="30"/>
      <c r="T27" s="16" t="s">
        <v>1019</v>
      </c>
      <c r="W27" s="15" t="s">
        <v>1019</v>
      </c>
      <c r="X27" s="30"/>
      <c r="Y27" s="8">
        <v>18</v>
      </c>
      <c r="Z27" s="8">
        <v>0</v>
      </c>
    </row>
    <row r="28" spans="1:26" x14ac:dyDescent="0.3">
      <c r="A28" t="s">
        <v>1476</v>
      </c>
      <c r="B28" t="s">
        <v>1003</v>
      </c>
      <c r="C28" t="s">
        <v>764</v>
      </c>
      <c r="D28" s="4">
        <v>45407</v>
      </c>
      <c r="E28" t="s">
        <v>266</v>
      </c>
      <c r="F28" t="s">
        <v>1489</v>
      </c>
      <c r="G28" s="16" t="s">
        <v>1019</v>
      </c>
      <c r="I28" s="17" t="s">
        <v>1019</v>
      </c>
      <c r="J28" s="15" t="s">
        <v>1019</v>
      </c>
      <c r="M28" s="15" t="s">
        <v>1020</v>
      </c>
      <c r="N28" t="s">
        <v>1010</v>
      </c>
      <c r="P28" s="4">
        <v>47735</v>
      </c>
      <c r="Q28" s="15" t="s">
        <v>1019</v>
      </c>
      <c r="R28" s="30"/>
      <c r="T28" s="16" t="s">
        <v>1019</v>
      </c>
      <c r="W28" s="15" t="s">
        <v>1019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1456</v>
      </c>
      <c r="C1" s="3" t="s">
        <v>1453</v>
      </c>
      <c r="D1" s="3" t="s">
        <v>1447</v>
      </c>
      <c r="E1" s="3" t="s">
        <v>1448</v>
      </c>
      <c r="F1" s="3" t="s">
        <v>1449</v>
      </c>
    </row>
    <row r="2" spans="1:6" x14ac:dyDescent="0.3">
      <c r="A2" s="22" t="s">
        <v>1450</v>
      </c>
      <c r="B2" s="22" t="s">
        <v>1454</v>
      </c>
      <c r="C2" s="22" t="s">
        <v>1606</v>
      </c>
      <c r="D2" s="22" t="s">
        <v>1616</v>
      </c>
      <c r="E2" s="22" t="s">
        <v>1461</v>
      </c>
      <c r="F2" s="22">
        <v>5941.7103999999999</v>
      </c>
    </row>
    <row r="3" spans="1:6" x14ac:dyDescent="0.3">
      <c r="A3" s="22" t="s">
        <v>1451</v>
      </c>
      <c r="B3" s="22" t="s">
        <v>1455</v>
      </c>
      <c r="C3" s="22" t="s">
        <v>1607</v>
      </c>
      <c r="D3" s="22" t="s">
        <v>1616</v>
      </c>
      <c r="E3" s="22" t="s">
        <v>246</v>
      </c>
      <c r="F3" s="22">
        <v>8200.5959999999995</v>
      </c>
    </row>
    <row r="4" spans="1:6" x14ac:dyDescent="0.3">
      <c r="A4" s="22" t="s">
        <v>1451</v>
      </c>
      <c r="B4" s="22" t="s">
        <v>1455</v>
      </c>
      <c r="C4" s="22" t="s">
        <v>1608</v>
      </c>
      <c r="D4" s="22" t="s">
        <v>1616</v>
      </c>
      <c r="E4" s="22" t="s">
        <v>246</v>
      </c>
      <c r="F4" s="22">
        <v>323479.56</v>
      </c>
    </row>
    <row r="5" spans="1:6" x14ac:dyDescent="0.3">
      <c r="A5" t="s">
        <v>1452</v>
      </c>
      <c r="B5" t="s">
        <v>1454</v>
      </c>
      <c r="C5" t="s">
        <v>1609</v>
      </c>
      <c r="D5" t="s">
        <v>1616</v>
      </c>
      <c r="E5" t="s">
        <v>1461</v>
      </c>
      <c r="F5" s="11">
        <v>633156.69999999995</v>
      </c>
    </row>
    <row r="6" spans="1:6" x14ac:dyDescent="0.3">
      <c r="A6" t="s">
        <v>1462</v>
      </c>
      <c r="B6" t="s">
        <v>1455</v>
      </c>
      <c r="C6" t="s">
        <v>1609</v>
      </c>
      <c r="D6" t="s">
        <v>1616</v>
      </c>
      <c r="E6" t="s">
        <v>246</v>
      </c>
      <c r="F6" s="11">
        <v>633156.69999999995</v>
      </c>
    </row>
    <row r="7" spans="1:6" x14ac:dyDescent="0.3">
      <c r="A7" t="s">
        <v>1462</v>
      </c>
      <c r="B7" t="s">
        <v>1455</v>
      </c>
      <c r="C7" t="s">
        <v>1610</v>
      </c>
      <c r="D7" t="s">
        <v>1616</v>
      </c>
      <c r="E7" t="s">
        <v>246</v>
      </c>
      <c r="F7" s="14">
        <v>633301.1</v>
      </c>
    </row>
    <row r="8" spans="1:6" x14ac:dyDescent="0.3">
      <c r="A8" s="22" t="s">
        <v>1465</v>
      </c>
      <c r="B8" s="22" t="s">
        <v>1454</v>
      </c>
      <c r="C8" s="22" t="s">
        <v>1471</v>
      </c>
      <c r="D8" s="22"/>
      <c r="E8" s="22"/>
      <c r="F8" s="22"/>
    </row>
    <row r="9" spans="1:6" x14ac:dyDescent="0.3">
      <c r="A9" s="22" t="s">
        <v>1466</v>
      </c>
      <c r="B9" s="22" t="s">
        <v>1455</v>
      </c>
      <c r="C9" s="22" t="s">
        <v>1600</v>
      </c>
      <c r="D9" s="22"/>
      <c r="E9" s="22"/>
      <c r="F9" s="22"/>
    </row>
    <row r="10" spans="1:6" x14ac:dyDescent="0.3">
      <c r="A10" s="22" t="s">
        <v>1466</v>
      </c>
      <c r="B10" s="22" t="s">
        <v>1455</v>
      </c>
      <c r="C10" s="22" t="s">
        <v>1601</v>
      </c>
      <c r="D10" s="22"/>
      <c r="E10" s="22"/>
      <c r="F10" s="22"/>
    </row>
    <row r="11" spans="1:6" x14ac:dyDescent="0.3">
      <c r="A11" t="s">
        <v>1463</v>
      </c>
      <c r="B11" t="s">
        <v>1454</v>
      </c>
      <c r="C11" t="s">
        <v>1611</v>
      </c>
      <c r="D11" t="s">
        <v>1616</v>
      </c>
      <c r="E11" t="s">
        <v>1461</v>
      </c>
      <c r="F11">
        <v>863.15020000000004</v>
      </c>
    </row>
    <row r="12" spans="1:6" x14ac:dyDescent="0.3">
      <c r="A12" t="s">
        <v>1463</v>
      </c>
      <c r="B12" t="s">
        <v>1454</v>
      </c>
      <c r="C12" t="s">
        <v>1612</v>
      </c>
      <c r="D12" t="s">
        <v>1616</v>
      </c>
      <c r="E12" t="s">
        <v>1461</v>
      </c>
      <c r="F12">
        <v>320510.62</v>
      </c>
    </row>
    <row r="13" spans="1:6" x14ac:dyDescent="0.3">
      <c r="A13" t="s">
        <v>1464</v>
      </c>
      <c r="B13" t="s">
        <v>1455</v>
      </c>
      <c r="C13" t="s">
        <v>1613</v>
      </c>
      <c r="D13" t="s">
        <v>1616</v>
      </c>
      <c r="E13" t="s">
        <v>246</v>
      </c>
      <c r="F13">
        <v>329688.28000000003</v>
      </c>
    </row>
    <row r="14" spans="1:6" x14ac:dyDescent="0.3">
      <c r="A14" s="22" t="s">
        <v>1467</v>
      </c>
      <c r="B14" s="22" t="s">
        <v>1454</v>
      </c>
      <c r="C14" s="22" t="s">
        <v>1614</v>
      </c>
      <c r="D14" s="22" t="s">
        <v>1616</v>
      </c>
      <c r="E14" s="22" t="s">
        <v>1461</v>
      </c>
      <c r="F14" s="22">
        <v>274328.40000000002</v>
      </c>
    </row>
    <row r="15" spans="1:6" x14ac:dyDescent="0.3">
      <c r="A15" s="22" t="s">
        <v>1467</v>
      </c>
      <c r="B15" s="22" t="s">
        <v>1454</v>
      </c>
      <c r="C15" s="22" t="s">
        <v>1615</v>
      </c>
      <c r="D15" s="22" t="s">
        <v>1616</v>
      </c>
      <c r="E15" s="22" t="s">
        <v>1461</v>
      </c>
      <c r="F15" s="22">
        <v>642614.75</v>
      </c>
    </row>
    <row r="16" spans="1:6" x14ac:dyDescent="0.3">
      <c r="A16" s="22" t="s">
        <v>1468</v>
      </c>
      <c r="B16" s="22" t="s">
        <v>1455</v>
      </c>
      <c r="C16" s="22" t="s">
        <v>1614</v>
      </c>
      <c r="D16" s="22" t="s">
        <v>1616</v>
      </c>
      <c r="E16" s="22" t="s">
        <v>246</v>
      </c>
      <c r="F16" s="22">
        <v>274328.40000000002</v>
      </c>
    </row>
    <row r="17" spans="1:10" x14ac:dyDescent="0.3">
      <c r="A17" t="s">
        <v>1469</v>
      </c>
      <c r="B17" t="s">
        <v>1454</v>
      </c>
      <c r="C17" t="s">
        <v>1602</v>
      </c>
    </row>
    <row r="18" spans="1:10" x14ac:dyDescent="0.3">
      <c r="A18" t="s">
        <v>1469</v>
      </c>
      <c r="B18" t="s">
        <v>1454</v>
      </c>
      <c r="C18" t="s">
        <v>1603</v>
      </c>
    </row>
    <row r="19" spans="1:10" x14ac:dyDescent="0.3">
      <c r="A19" t="s">
        <v>1470</v>
      </c>
      <c r="B19" t="s">
        <v>1455</v>
      </c>
      <c r="C19" t="s">
        <v>1604</v>
      </c>
      <c r="J19" s="11"/>
    </row>
    <row r="20" spans="1:10" x14ac:dyDescent="0.3">
      <c r="A20" s="22" t="s">
        <v>1494</v>
      </c>
      <c r="B20" s="22" t="s">
        <v>1454</v>
      </c>
      <c r="C20" s="22" t="s">
        <v>1602</v>
      </c>
      <c r="D20" s="22"/>
      <c r="E20" s="22"/>
      <c r="F20" s="22"/>
    </row>
    <row r="21" spans="1:10" x14ac:dyDescent="0.3">
      <c r="A21" s="22" t="s">
        <v>1494</v>
      </c>
      <c r="B21" s="22" t="s">
        <v>1454</v>
      </c>
      <c r="C21" s="22" t="s">
        <v>1602</v>
      </c>
      <c r="D21" s="22"/>
      <c r="E21" s="22"/>
      <c r="F21" s="22"/>
    </row>
    <row r="22" spans="1:10" x14ac:dyDescent="0.3">
      <c r="A22" s="22" t="s">
        <v>1470</v>
      </c>
      <c r="B22" s="22" t="s">
        <v>1455</v>
      </c>
      <c r="C22" s="22" t="s">
        <v>1605</v>
      </c>
      <c r="D22" s="22"/>
      <c r="E22" s="22"/>
      <c r="F22" s="22"/>
    </row>
    <row r="23" spans="1:10" x14ac:dyDescent="0.3">
      <c r="A23" t="s">
        <v>1495</v>
      </c>
      <c r="B23" t="s">
        <v>1454</v>
      </c>
      <c r="C23" t="s">
        <v>1602</v>
      </c>
    </row>
    <row r="24" spans="1:10" x14ac:dyDescent="0.3">
      <c r="A24" t="s">
        <v>1496</v>
      </c>
      <c r="B24" t="s">
        <v>1454</v>
      </c>
    </row>
    <row r="25" spans="1:10" x14ac:dyDescent="0.3">
      <c r="A25" t="s">
        <v>1497</v>
      </c>
      <c r="B25" t="s">
        <v>1455</v>
      </c>
      <c r="C25" t="s">
        <v>1605</v>
      </c>
    </row>
    <row r="26" spans="1:10" x14ac:dyDescent="0.3">
      <c r="A26" s="22" t="s">
        <v>1498</v>
      </c>
      <c r="B26" s="22" t="s">
        <v>1454</v>
      </c>
      <c r="C26" s="22" t="s">
        <v>1602</v>
      </c>
      <c r="D26" s="22"/>
      <c r="E26" s="22"/>
      <c r="F26" s="22"/>
    </row>
    <row r="27" spans="1:10" x14ac:dyDescent="0.3">
      <c r="A27" s="22" t="s">
        <v>1499</v>
      </c>
      <c r="B27" s="22" t="s">
        <v>1455</v>
      </c>
      <c r="C27" s="22" t="s">
        <v>1605</v>
      </c>
      <c r="D27" s="22"/>
      <c r="E27" s="22"/>
      <c r="F27" s="22"/>
    </row>
    <row r="28" spans="1:10" x14ac:dyDescent="0.3">
      <c r="A28" s="22" t="s">
        <v>1499</v>
      </c>
      <c r="B28" s="22" t="s">
        <v>1455</v>
      </c>
      <c r="C28" s="22" t="s">
        <v>1605</v>
      </c>
      <c r="D28" s="22"/>
      <c r="E28" s="22"/>
      <c r="F28" s="22"/>
    </row>
    <row r="29" spans="1:10" x14ac:dyDescent="0.3">
      <c r="A29" t="s">
        <v>1500</v>
      </c>
      <c r="B29" t="s">
        <v>1454</v>
      </c>
      <c r="C29" t="s">
        <v>1602</v>
      </c>
    </row>
    <row r="30" spans="1:10" x14ac:dyDescent="0.3">
      <c r="A30" t="s">
        <v>1501</v>
      </c>
      <c r="B30" t="s">
        <v>1454</v>
      </c>
      <c r="C30" t="s">
        <v>1603</v>
      </c>
    </row>
    <row r="31" spans="1:10" x14ac:dyDescent="0.3">
      <c r="A31" t="s">
        <v>1501</v>
      </c>
      <c r="B31" t="s">
        <v>1455</v>
      </c>
    </row>
    <row r="32" spans="1:10" x14ac:dyDescent="0.3">
      <c r="A32" s="22" t="s">
        <v>2145</v>
      </c>
      <c r="B32" s="22" t="s">
        <v>1454</v>
      </c>
      <c r="C32" s="22" t="s">
        <v>2143</v>
      </c>
      <c r="D32" s="22"/>
      <c r="E32" s="22"/>
      <c r="F32" s="22"/>
    </row>
    <row r="33" spans="1:6" x14ac:dyDescent="0.3">
      <c r="A33" s="22" t="s">
        <v>2145</v>
      </c>
      <c r="B33" s="22" t="s">
        <v>1454</v>
      </c>
      <c r="C33" s="22" t="s">
        <v>2144</v>
      </c>
      <c r="D33" s="22"/>
      <c r="E33" s="22"/>
      <c r="F33" s="22"/>
    </row>
    <row r="34" spans="1:6" x14ac:dyDescent="0.3">
      <c r="A34" s="22" t="s">
        <v>2145</v>
      </c>
      <c r="B34" s="22" t="s">
        <v>1455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1204</v>
      </c>
      <c r="B11">
        <v>21</v>
      </c>
      <c r="C11">
        <v>1</v>
      </c>
    </row>
    <row r="12" spans="1:3" x14ac:dyDescent="0.3">
      <c r="A12" t="s">
        <v>1245</v>
      </c>
      <c r="B12">
        <v>54</v>
      </c>
      <c r="C12">
        <v>10</v>
      </c>
    </row>
    <row r="13" spans="1:3" x14ac:dyDescent="0.3">
      <c r="A13" t="s">
        <v>1342</v>
      </c>
      <c r="B13">
        <v>44</v>
      </c>
      <c r="C13">
        <v>9</v>
      </c>
    </row>
    <row r="14" spans="1:3" x14ac:dyDescent="0.3">
      <c r="A14" t="s">
        <v>1343</v>
      </c>
      <c r="B14">
        <v>53</v>
      </c>
      <c r="C14">
        <v>1</v>
      </c>
    </row>
    <row r="15" spans="1:3" x14ac:dyDescent="0.3">
      <c r="A15" t="s">
        <v>2207</v>
      </c>
      <c r="B15">
        <v>65</v>
      </c>
      <c r="C15">
        <v>5</v>
      </c>
    </row>
    <row r="16" spans="1:3" x14ac:dyDescent="0.3">
      <c r="A16" t="s">
        <v>2208</v>
      </c>
      <c r="B16">
        <v>70</v>
      </c>
      <c r="C16">
        <v>1</v>
      </c>
    </row>
    <row r="17" spans="1:3" x14ac:dyDescent="0.3">
      <c r="A17" t="s">
        <v>2312</v>
      </c>
      <c r="B17">
        <v>71</v>
      </c>
      <c r="C17">
        <v>3</v>
      </c>
    </row>
    <row r="18" spans="1:3" x14ac:dyDescent="0.3">
      <c r="A18" t="s">
        <v>2357</v>
      </c>
      <c r="B18">
        <v>71</v>
      </c>
      <c r="C18">
        <v>1</v>
      </c>
    </row>
    <row r="19" spans="1:3" x14ac:dyDescent="0.3">
      <c r="A19" t="s">
        <v>2358</v>
      </c>
    </row>
    <row r="20" spans="1:3" x14ac:dyDescent="0.3">
      <c r="A20" t="s">
        <v>2359</v>
      </c>
    </row>
  </sheetData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2399</v>
      </c>
      <c r="E1" s="3" t="s">
        <v>1868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1874</v>
      </c>
      <c r="AR1" s="3" t="s">
        <v>1875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1847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1848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1849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1852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1850</v>
      </c>
      <c r="AH10" t="s">
        <v>1851</v>
      </c>
      <c r="AY10" t="s">
        <v>1853</v>
      </c>
    </row>
    <row r="11" spans="1:54" s="23" customFormat="1" x14ac:dyDescent="0.3">
      <c r="A11" s="23" t="s">
        <v>1843</v>
      </c>
      <c r="B11" s="23" t="s">
        <v>453</v>
      </c>
      <c r="C11" s="23" t="s">
        <v>489</v>
      </c>
      <c r="D11" s="23" t="s">
        <v>2400</v>
      </c>
      <c r="I11" s="36"/>
      <c r="J11" s="36"/>
      <c r="M11" s="36"/>
      <c r="P11" s="36"/>
      <c r="R11" s="36"/>
      <c r="AW11" s="23" t="s">
        <v>1854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1855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1856</v>
      </c>
      <c r="AB17" t="s">
        <v>1857</v>
      </c>
      <c r="AW17" t="s">
        <v>1858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1859</v>
      </c>
      <c r="R18" s="13">
        <v>36778</v>
      </c>
      <c r="S18" t="s">
        <v>1860</v>
      </c>
      <c r="X18" s="9" t="s">
        <v>499</v>
      </c>
      <c r="Y18" t="s">
        <v>1861</v>
      </c>
      <c r="AB18" t="s">
        <v>500</v>
      </c>
      <c r="AP18" s="4"/>
      <c r="AQ18" s="4"/>
      <c r="AR18" s="4"/>
      <c r="AT18" t="s">
        <v>1862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1863</v>
      </c>
      <c r="AG19" t="s">
        <v>1864</v>
      </c>
      <c r="AV19" t="s">
        <v>1865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1826</v>
      </c>
      <c r="C20" t="s">
        <v>492</v>
      </c>
      <c r="AW20" t="s">
        <v>1866</v>
      </c>
    </row>
    <row r="21" spans="1:53" s="23" customFormat="1" x14ac:dyDescent="0.3">
      <c r="A21" s="23" t="s">
        <v>1841</v>
      </c>
      <c r="B21" s="23" t="s">
        <v>465</v>
      </c>
      <c r="C21" s="23" t="s">
        <v>491</v>
      </c>
      <c r="D21" s="23" t="s">
        <v>2401</v>
      </c>
      <c r="I21" s="36"/>
      <c r="J21" s="36"/>
      <c r="M21" s="36"/>
      <c r="P21" s="36"/>
      <c r="R21" s="36"/>
      <c r="AW21" s="23" t="s">
        <v>1867</v>
      </c>
      <c r="AX21" s="36"/>
    </row>
    <row r="22" spans="1:53" x14ac:dyDescent="0.3">
      <c r="A22" t="s">
        <v>1207</v>
      </c>
      <c r="B22" t="s">
        <v>452</v>
      </c>
      <c r="C22" t="s">
        <v>492</v>
      </c>
      <c r="G22" t="s">
        <v>1205</v>
      </c>
      <c r="V22" t="s">
        <v>66</v>
      </c>
      <c r="AU22" t="s">
        <v>1206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1827</v>
      </c>
      <c r="C24" t="s">
        <v>487</v>
      </c>
      <c r="E24" t="s">
        <v>1869</v>
      </c>
      <c r="AW24" t="s">
        <v>1870</v>
      </c>
    </row>
    <row r="25" spans="1:53" x14ac:dyDescent="0.3">
      <c r="A25" t="str">
        <f>CONCATENATE("Acquisition File - ",B25)</f>
        <v>Acquisition File - Form 5 - Approval of expropriation</v>
      </c>
      <c r="B25" t="s">
        <v>1828</v>
      </c>
      <c r="C25" t="s">
        <v>488</v>
      </c>
      <c r="AW25" t="s">
        <v>1871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1872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1829</v>
      </c>
      <c r="C27" t="s">
        <v>490</v>
      </c>
      <c r="AW27" t="s">
        <v>1873</v>
      </c>
    </row>
    <row r="28" spans="1:53" x14ac:dyDescent="0.3">
      <c r="A28" t="str">
        <f t="shared" si="3"/>
        <v>Acquisition File - Land Act Tenure/Reserves</v>
      </c>
      <c r="B28" t="s">
        <v>1830</v>
      </c>
      <c r="C28" t="s">
        <v>491</v>
      </c>
      <c r="AQ28" t="s">
        <v>1876</v>
      </c>
      <c r="AR28" t="s">
        <v>1877</v>
      </c>
      <c r="AW28" t="s">
        <v>1878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1879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1880</v>
      </c>
      <c r="AB30" t="s">
        <v>1881</v>
      </c>
      <c r="AJ30" t="s">
        <v>1882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1883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1884</v>
      </c>
      <c r="AA32" t="s">
        <v>1885</v>
      </c>
      <c r="AO32" t="s">
        <v>1886</v>
      </c>
      <c r="AT32" t="s">
        <v>1887</v>
      </c>
    </row>
    <row r="33" spans="1:50" x14ac:dyDescent="0.3">
      <c r="A33" t="str">
        <f t="shared" si="3"/>
        <v>Acquisition File - Form 7 - Notice of abandonement</v>
      </c>
      <c r="B33" t="s">
        <v>1836</v>
      </c>
      <c r="C33" t="s">
        <v>489</v>
      </c>
      <c r="AW33" t="s">
        <v>1888</v>
      </c>
    </row>
    <row r="34" spans="1:50" s="23" customFormat="1" x14ac:dyDescent="0.3">
      <c r="A34" s="23" t="s">
        <v>1844</v>
      </c>
      <c r="B34" s="23" t="s">
        <v>710</v>
      </c>
      <c r="C34" s="23" t="s">
        <v>490</v>
      </c>
      <c r="D34" s="23" t="s">
        <v>2402</v>
      </c>
      <c r="I34" s="36"/>
      <c r="J34" s="36"/>
      <c r="M34" s="36"/>
      <c r="P34" s="36"/>
      <c r="R34" s="36"/>
      <c r="AW34" s="23" t="s">
        <v>1889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1890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1831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1891</v>
      </c>
      <c r="AA38" t="s">
        <v>1892</v>
      </c>
      <c r="AB38" t="s">
        <v>1893</v>
      </c>
      <c r="AP38" s="13">
        <v>43757</v>
      </c>
      <c r="AS38" t="s">
        <v>1894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1895</v>
      </c>
      <c r="AW39" t="s">
        <v>1896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1897</v>
      </c>
      <c r="AK40" t="s">
        <v>1898</v>
      </c>
      <c r="AM40" t="s">
        <v>1899</v>
      </c>
      <c r="AN40" t="s">
        <v>1900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1901</v>
      </c>
      <c r="I41" s="13">
        <v>32301</v>
      </c>
      <c r="X41" t="s">
        <v>731</v>
      </c>
      <c r="AA41" t="s">
        <v>732</v>
      </c>
      <c r="AB41" t="s">
        <v>733</v>
      </c>
      <c r="AF41" t="s">
        <v>1902</v>
      </c>
      <c r="AO41" t="s">
        <v>1903</v>
      </c>
      <c r="AP41" s="4"/>
      <c r="AQ41" s="4"/>
      <c r="AR41" s="4"/>
      <c r="AW41" t="s">
        <v>1904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1905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1906</v>
      </c>
    </row>
    <row r="44" spans="1:50" s="23" customFormat="1" x14ac:dyDescent="0.3">
      <c r="A44" s="23" t="s">
        <v>1842</v>
      </c>
      <c r="B44" s="23" t="s">
        <v>453</v>
      </c>
      <c r="C44" s="23" t="s">
        <v>486</v>
      </c>
      <c r="D44" s="23" t="s">
        <v>2403</v>
      </c>
      <c r="I44" s="36"/>
      <c r="J44" s="36"/>
      <c r="M44" s="36"/>
      <c r="P44" s="36"/>
      <c r="R44" s="36"/>
      <c r="AW44" s="23" t="s">
        <v>1117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1832</v>
      </c>
      <c r="C45" t="s">
        <v>487</v>
      </c>
      <c r="AW45" t="s">
        <v>1246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1833</v>
      </c>
      <c r="C46" t="s">
        <v>488</v>
      </c>
      <c r="AW46" t="s">
        <v>1907</v>
      </c>
    </row>
    <row r="47" spans="1:50" x14ac:dyDescent="0.3">
      <c r="A47" t="str">
        <f t="shared" si="5"/>
        <v>Disposition File -First Nations Strength of Claim Report</v>
      </c>
      <c r="B47" t="s">
        <v>1834</v>
      </c>
      <c r="C47" t="s">
        <v>489</v>
      </c>
      <c r="AW47" t="s">
        <v>1908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1909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1910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1911</v>
      </c>
      <c r="AE50" t="s">
        <v>1912</v>
      </c>
      <c r="AT50" t="s">
        <v>1913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1835</v>
      </c>
      <c r="C51" t="s">
        <v>486</v>
      </c>
      <c r="AW51" t="s">
        <v>1914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1915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1916</v>
      </c>
    </row>
    <row r="54" spans="1:54" s="23" customFormat="1" x14ac:dyDescent="0.3">
      <c r="A54" s="23" t="s">
        <v>1845</v>
      </c>
      <c r="B54" s="23" t="s">
        <v>713</v>
      </c>
      <c r="C54" s="23" t="s">
        <v>489</v>
      </c>
      <c r="D54" s="23" t="s">
        <v>2404</v>
      </c>
      <c r="I54" s="36"/>
      <c r="J54" s="36">
        <v>36800</v>
      </c>
      <c r="M54" s="36"/>
      <c r="P54" s="36"/>
      <c r="R54" s="36"/>
      <c r="AA54" s="23" t="s">
        <v>1917</v>
      </c>
      <c r="AT54" s="23" t="s">
        <v>1918</v>
      </c>
      <c r="AX54" s="36"/>
      <c r="AZ54" s="23" t="s">
        <v>1919</v>
      </c>
    </row>
    <row r="55" spans="1:54" x14ac:dyDescent="0.3">
      <c r="A55" t="str">
        <f>_xlfn.CONCAT("Property Management -",B55)</f>
        <v>Property Management -Approval/sign-off</v>
      </c>
      <c r="B55" t="s">
        <v>1837</v>
      </c>
      <c r="C55" t="s">
        <v>490</v>
      </c>
      <c r="AW55" t="s">
        <v>1920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1838</v>
      </c>
      <c r="C56" t="s">
        <v>491</v>
      </c>
      <c r="AW56" t="s">
        <v>1931</v>
      </c>
    </row>
    <row r="57" spans="1:54" x14ac:dyDescent="0.3">
      <c r="A57" t="str">
        <f t="shared" si="6"/>
        <v>Property Management -Form 1 - Notice of expropriation </v>
      </c>
      <c r="B57" t="s">
        <v>1839</v>
      </c>
      <c r="C57" t="s">
        <v>492</v>
      </c>
      <c r="AW57" t="s">
        <v>1930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1921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1922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1929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1928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1923</v>
      </c>
      <c r="AO63" t="s">
        <v>1924</v>
      </c>
      <c r="AT63" t="s">
        <v>1352</v>
      </c>
      <c r="AZ63" t="s">
        <v>1925</v>
      </c>
    </row>
    <row r="64" spans="1:54" x14ac:dyDescent="0.3">
      <c r="A64" t="str">
        <f t="shared" si="6"/>
        <v>Property Management -Form 9 - Vesting notice (Form 9)</v>
      </c>
      <c r="B64" t="s">
        <v>1840</v>
      </c>
      <c r="C64" t="s">
        <v>492</v>
      </c>
      <c r="AW64" t="s">
        <v>1927</v>
      </c>
    </row>
    <row r="65" spans="1:54" s="23" customFormat="1" x14ac:dyDescent="0.3">
      <c r="A65" s="23" t="s">
        <v>1846</v>
      </c>
      <c r="B65" s="23" t="s">
        <v>478</v>
      </c>
      <c r="C65" s="23" t="s">
        <v>486</v>
      </c>
      <c r="D65" s="23" t="s">
        <v>2405</v>
      </c>
      <c r="I65" s="36"/>
      <c r="J65" s="36"/>
      <c r="M65" s="36"/>
      <c r="P65" s="36"/>
      <c r="R65" s="36"/>
      <c r="AW65" s="23" t="s">
        <v>1926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1832</v>
      </c>
      <c r="C66" t="s">
        <v>487</v>
      </c>
      <c r="AW66" t="s">
        <v>2210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2211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2217</v>
      </c>
      <c r="I68" s="13">
        <v>32928</v>
      </c>
      <c r="AF68" t="s">
        <v>2222</v>
      </c>
      <c r="AO68" t="s">
        <v>2223</v>
      </c>
      <c r="AW68" t="s">
        <v>2225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2212</v>
      </c>
      <c r="AT69" t="s">
        <v>2213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2214</v>
      </c>
      <c r="N70" t="s">
        <v>2215</v>
      </c>
      <c r="W70" t="s">
        <v>2216</v>
      </c>
    </row>
    <row r="71" spans="1:54" s="23" customFormat="1" x14ac:dyDescent="0.3">
      <c r="A71" s="23" t="s">
        <v>2209</v>
      </c>
      <c r="B71" s="23" t="s">
        <v>470</v>
      </c>
      <c r="C71" s="23" t="s">
        <v>492</v>
      </c>
      <c r="D71" s="23" t="s">
        <v>2406</v>
      </c>
      <c r="I71" s="36"/>
      <c r="J71" s="36"/>
      <c r="M71" s="36"/>
      <c r="O71" s="23" t="s">
        <v>2218</v>
      </c>
      <c r="P71" s="36"/>
      <c r="R71" s="36"/>
      <c r="X71" s="23" t="s">
        <v>2219</v>
      </c>
      <c r="AA71" s="23" t="s">
        <v>2220</v>
      </c>
      <c r="AB71" s="23" t="s">
        <v>2221</v>
      </c>
      <c r="AP71" s="36">
        <v>45616</v>
      </c>
      <c r="AS71" s="23" t="s">
        <v>2224</v>
      </c>
      <c r="AX71" s="36"/>
    </row>
    <row r="72" spans="1:54" x14ac:dyDescent="0.3">
      <c r="A72" t="s">
        <v>2313</v>
      </c>
      <c r="B72" t="s">
        <v>710</v>
      </c>
      <c r="C72" t="s">
        <v>486</v>
      </c>
      <c r="AW72" t="s">
        <v>2316</v>
      </c>
    </row>
    <row r="73" spans="1:54" x14ac:dyDescent="0.3">
      <c r="A73" t="s">
        <v>2314</v>
      </c>
      <c r="B73" t="s">
        <v>452</v>
      </c>
      <c r="C73" t="s">
        <v>487</v>
      </c>
      <c r="G73" t="s">
        <v>2317</v>
      </c>
      <c r="V73" t="s">
        <v>2212</v>
      </c>
      <c r="AU73" t="s">
        <v>2318</v>
      </c>
      <c r="BB73">
        <v>2025</v>
      </c>
    </row>
    <row r="74" spans="1:54" x14ac:dyDescent="0.3">
      <c r="A74" t="s">
        <v>2315</v>
      </c>
      <c r="B74" t="s">
        <v>454</v>
      </c>
      <c r="C74" t="s">
        <v>488</v>
      </c>
      <c r="F74" t="s">
        <v>2319</v>
      </c>
      <c r="U74" t="s">
        <v>2320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2115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2115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2152</v>
      </c>
    </row>
    <row r="7" spans="1:2" x14ac:dyDescent="0.3">
      <c r="A7" t="s">
        <v>1124</v>
      </c>
      <c r="B7" t="s">
        <v>2116</v>
      </c>
    </row>
    <row r="8" spans="1:2" x14ac:dyDescent="0.3">
      <c r="A8" t="s">
        <v>1125</v>
      </c>
      <c r="B8" t="s">
        <v>1126</v>
      </c>
    </row>
    <row r="9" spans="1:2" x14ac:dyDescent="0.3">
      <c r="A9" t="s">
        <v>1208</v>
      </c>
      <c r="B9" t="s">
        <v>1209</v>
      </c>
    </row>
    <row r="10" spans="1:2" x14ac:dyDescent="0.3">
      <c r="A10" t="s">
        <v>1348</v>
      </c>
      <c r="B10" t="s">
        <v>2115</v>
      </c>
    </row>
    <row r="11" spans="1:2" x14ac:dyDescent="0.3">
      <c r="A11" t="s">
        <v>1349</v>
      </c>
      <c r="B11" t="s">
        <v>1350</v>
      </c>
    </row>
    <row r="12" spans="1:2" x14ac:dyDescent="0.3">
      <c r="A12" t="s">
        <v>2226</v>
      </c>
      <c r="B12" t="s">
        <v>2115</v>
      </c>
    </row>
    <row r="13" spans="1:2" x14ac:dyDescent="0.3">
      <c r="A13" t="s">
        <v>2227</v>
      </c>
      <c r="B13" t="s">
        <v>2228</v>
      </c>
    </row>
    <row r="14" spans="1:2" x14ac:dyDescent="0.3">
      <c r="A14" t="s">
        <v>2354</v>
      </c>
      <c r="B14" t="s">
        <v>2352</v>
      </c>
    </row>
    <row r="15" spans="1:2" x14ac:dyDescent="0.3">
      <c r="A15" t="s">
        <v>2353</v>
      </c>
      <c r="B15" t="s">
        <v>2228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PropertiesImprovements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2026-02-06T18:09:30Z</dcterms:modified>
</cp:coreProperties>
</file>